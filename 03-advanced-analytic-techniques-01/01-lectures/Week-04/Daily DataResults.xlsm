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ime Series\2023\Website Files\Week 4\"/>
    </mc:Choice>
  </mc:AlternateContent>
  <xr:revisionPtr revIDLastSave="0" documentId="13_ncr:1_{1CA97E74-A88F-4CEC-8943-2111BCC35D2C}" xr6:coauthVersionLast="47" xr6:coauthVersionMax="47" xr10:uidLastSave="{00000000-0000-0000-0000-000000000000}"/>
  <bookViews>
    <workbookView xWindow="-120" yWindow="-120" windowWidth="29040" windowHeight="15840" xr2:uid="{EB2A9373-B42F-4D1F-AF90-FC258230C0E5}"/>
  </bookViews>
  <sheets>
    <sheet name="Sheet1" sheetId="1" r:id="rId1"/>
    <sheet name="TempTrain" sheetId="4" r:id="rId2"/>
    <sheet name="TempTest" sheetId="5" r:id="rId3"/>
    <sheet name="SolarTrain" sheetId="2" r:id="rId4"/>
    <sheet name="SolarTest" sheetId="3" r:id="rId5"/>
  </sheets>
  <definedNames>
    <definedName name="solver_adj" localSheetId="3" hidden="1">SolarTrain!$C$2:$C$3</definedName>
    <definedName name="solver_adj" localSheetId="1" hidden="1">TempTrain!$C$2:$C$3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" hidden="1">1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2</definedName>
    <definedName name="solver_neg" localSheetId="1" hidden="1">2</definedName>
    <definedName name="solver_nod" localSheetId="3" hidden="1">2147483647</definedName>
    <definedName name="solver_nod" localSheetId="1" hidden="1">2147483647</definedName>
    <definedName name="solver_num" localSheetId="3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pt" localSheetId="3" hidden="1">SolarTrain!$E$2</definedName>
    <definedName name="solver_opt" localSheetId="1" hidden="1">TempTrain!$E$2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  <definedName name="solver_ver" localSheetId="3" hidden="1">3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5" l="1"/>
  <c r="D7" i="5"/>
  <c r="D8" i="5"/>
  <c r="D9" i="5"/>
  <c r="D10" i="5"/>
  <c r="D11" i="5"/>
  <c r="E11" i="5" s="1"/>
  <c r="F11" i="5" s="1"/>
  <c r="H11" i="5" s="1"/>
  <c r="D12" i="5"/>
  <c r="D13" i="5"/>
  <c r="E13" i="5" s="1"/>
  <c r="F13" i="5" s="1"/>
  <c r="H13" i="5" s="1"/>
  <c r="D14" i="5"/>
  <c r="D15" i="5"/>
  <c r="D16" i="5"/>
  <c r="D17" i="5"/>
  <c r="D18" i="5"/>
  <c r="D19" i="5"/>
  <c r="E19" i="5" s="1"/>
  <c r="F19" i="5" s="1"/>
  <c r="H19" i="5" s="1"/>
  <c r="D20" i="5"/>
  <c r="D21" i="5"/>
  <c r="E21" i="5" s="1"/>
  <c r="F21" i="5" s="1"/>
  <c r="H21" i="5" s="1"/>
  <c r="D22" i="5"/>
  <c r="D23" i="5"/>
  <c r="D24" i="5"/>
  <c r="D25" i="5"/>
  <c r="D26" i="5"/>
  <c r="D27" i="5"/>
  <c r="E27" i="5" s="1"/>
  <c r="F27" i="5" s="1"/>
  <c r="H27" i="5" s="1"/>
  <c r="D28" i="5"/>
  <c r="D29" i="5"/>
  <c r="E29" i="5" s="1"/>
  <c r="F29" i="5" s="1"/>
  <c r="H29" i="5" s="1"/>
  <c r="D30" i="5"/>
  <c r="D31" i="5"/>
  <c r="D32" i="5"/>
  <c r="D33" i="5"/>
  <c r="D34" i="5"/>
  <c r="D35" i="5"/>
  <c r="E35" i="5" s="1"/>
  <c r="F35" i="5" s="1"/>
  <c r="H35" i="5" s="1"/>
  <c r="D36" i="5"/>
  <c r="D37" i="5"/>
  <c r="E37" i="5" s="1"/>
  <c r="F37" i="5" s="1"/>
  <c r="H37" i="5" s="1"/>
  <c r="D38" i="5"/>
  <c r="D39" i="5"/>
  <c r="D40" i="5"/>
  <c r="D41" i="5"/>
  <c r="D42" i="5"/>
  <c r="D43" i="5"/>
  <c r="E43" i="5" s="1"/>
  <c r="F43" i="5" s="1"/>
  <c r="H43" i="5" s="1"/>
  <c r="D44" i="5"/>
  <c r="D45" i="5"/>
  <c r="E45" i="5" s="1"/>
  <c r="F45" i="5" s="1"/>
  <c r="H45" i="5" s="1"/>
  <c r="D46" i="5"/>
  <c r="D47" i="5"/>
  <c r="D48" i="5"/>
  <c r="D49" i="5"/>
  <c r="D50" i="5"/>
  <c r="D51" i="5"/>
  <c r="E51" i="5" s="1"/>
  <c r="F51" i="5" s="1"/>
  <c r="H51" i="5" s="1"/>
  <c r="D52" i="5"/>
  <c r="D53" i="5"/>
  <c r="E53" i="5" s="1"/>
  <c r="F53" i="5" s="1"/>
  <c r="H53" i="5" s="1"/>
  <c r="D54" i="5"/>
  <c r="D55" i="5"/>
  <c r="D56" i="5"/>
  <c r="D57" i="5"/>
  <c r="D58" i="5"/>
  <c r="E58" i="5" s="1"/>
  <c r="F58" i="5" s="1"/>
  <c r="H58" i="5" s="1"/>
  <c r="D59" i="5"/>
  <c r="E59" i="5" s="1"/>
  <c r="F59" i="5" s="1"/>
  <c r="H59" i="5" s="1"/>
  <c r="D60" i="5"/>
  <c r="D61" i="5"/>
  <c r="D62" i="5"/>
  <c r="D63" i="5"/>
  <c r="E63" i="5" s="1"/>
  <c r="F63" i="5" s="1"/>
  <c r="H63" i="5" s="1"/>
  <c r="D64" i="5"/>
  <c r="D65" i="5"/>
  <c r="D66" i="5"/>
  <c r="E66" i="5" s="1"/>
  <c r="F66" i="5" s="1"/>
  <c r="H66" i="5" s="1"/>
  <c r="D67" i="5"/>
  <c r="D68" i="5"/>
  <c r="D69" i="5"/>
  <c r="D70" i="5"/>
  <c r="E70" i="5" s="1"/>
  <c r="F70" i="5" s="1"/>
  <c r="H70" i="5" s="1"/>
  <c r="D71" i="5"/>
  <c r="D72" i="5"/>
  <c r="D73" i="5"/>
  <c r="D74" i="5"/>
  <c r="E74" i="5" s="1"/>
  <c r="F74" i="5" s="1"/>
  <c r="H74" i="5" s="1"/>
  <c r="D75" i="5"/>
  <c r="D76" i="5"/>
  <c r="D77" i="5"/>
  <c r="D78" i="5"/>
  <c r="E78" i="5" s="1"/>
  <c r="F78" i="5" s="1"/>
  <c r="H78" i="5" s="1"/>
  <c r="D79" i="5"/>
  <c r="D80" i="5"/>
  <c r="D81" i="5"/>
  <c r="D82" i="5"/>
  <c r="D83" i="5"/>
  <c r="D84" i="5"/>
  <c r="D85" i="5"/>
  <c r="E85" i="5" s="1"/>
  <c r="F85" i="5" s="1"/>
  <c r="H85" i="5" s="1"/>
  <c r="D86" i="5"/>
  <c r="D87" i="5"/>
  <c r="D88" i="5"/>
  <c r="D89" i="5"/>
  <c r="D90" i="5"/>
  <c r="D91" i="5"/>
  <c r="D92" i="5"/>
  <c r="D93" i="5"/>
  <c r="E93" i="5" s="1"/>
  <c r="F93" i="5" s="1"/>
  <c r="H93" i="5" s="1"/>
  <c r="D94" i="5"/>
  <c r="D95" i="5"/>
  <c r="D96" i="5"/>
  <c r="D97" i="5"/>
  <c r="D98" i="5"/>
  <c r="D99" i="5"/>
  <c r="D100" i="5"/>
  <c r="D101" i="5"/>
  <c r="E101" i="5" s="1"/>
  <c r="F101" i="5" s="1"/>
  <c r="H101" i="5" s="1"/>
  <c r="D102" i="5"/>
  <c r="D103" i="5"/>
  <c r="D104" i="5"/>
  <c r="D105" i="5"/>
  <c r="D106" i="5"/>
  <c r="D107" i="5"/>
  <c r="D108" i="5"/>
  <c r="D109" i="5"/>
  <c r="E109" i="5" s="1"/>
  <c r="F109" i="5" s="1"/>
  <c r="H109" i="5" s="1"/>
  <c r="D110" i="5"/>
  <c r="D111" i="5"/>
  <c r="D112" i="5"/>
  <c r="D113" i="5"/>
  <c r="D114" i="5"/>
  <c r="D115" i="5"/>
  <c r="D116" i="5"/>
  <c r="D117" i="5"/>
  <c r="E117" i="5" s="1"/>
  <c r="F117" i="5" s="1"/>
  <c r="H117" i="5" s="1"/>
  <c r="D118" i="5"/>
  <c r="D119" i="5"/>
  <c r="E119" i="5" s="1"/>
  <c r="F119" i="5" s="1"/>
  <c r="H119" i="5" s="1"/>
  <c r="D120" i="5"/>
  <c r="D121" i="5"/>
  <c r="D122" i="5"/>
  <c r="D123" i="5"/>
  <c r="E123" i="5" s="1"/>
  <c r="F123" i="5" s="1"/>
  <c r="H123" i="5" s="1"/>
  <c r="D124" i="5"/>
  <c r="D125" i="5"/>
  <c r="E125" i="5" s="1"/>
  <c r="F125" i="5" s="1"/>
  <c r="H125" i="5" s="1"/>
  <c r="D126" i="5"/>
  <c r="E126" i="5" s="1"/>
  <c r="F126" i="5" s="1"/>
  <c r="H126" i="5" s="1"/>
  <c r="D127" i="5"/>
  <c r="D128" i="5"/>
  <c r="D129" i="5"/>
  <c r="D130" i="5"/>
  <c r="E130" i="5" s="1"/>
  <c r="F130" i="5" s="1"/>
  <c r="H130" i="5" s="1"/>
  <c r="D131" i="5"/>
  <c r="D132" i="5"/>
  <c r="D133" i="5"/>
  <c r="E133" i="5" s="1"/>
  <c r="F133" i="5" s="1"/>
  <c r="H133" i="5" s="1"/>
  <c r="D134" i="5"/>
  <c r="E134" i="5" s="1"/>
  <c r="F134" i="5" s="1"/>
  <c r="H134" i="5" s="1"/>
  <c r="D135" i="5"/>
  <c r="D136" i="5"/>
  <c r="D137" i="5"/>
  <c r="D138" i="5"/>
  <c r="D139" i="5"/>
  <c r="E139" i="5" s="1"/>
  <c r="F139" i="5" s="1"/>
  <c r="H139" i="5" s="1"/>
  <c r="D140" i="5"/>
  <c r="D141" i="5"/>
  <c r="E141" i="5" s="1"/>
  <c r="F141" i="5" s="1"/>
  <c r="H141" i="5" s="1"/>
  <c r="D142" i="5"/>
  <c r="D143" i="5"/>
  <c r="E143" i="5" s="1"/>
  <c r="F143" i="5" s="1"/>
  <c r="H143" i="5" s="1"/>
  <c r="D144" i="5"/>
  <c r="D145" i="5"/>
  <c r="D146" i="5"/>
  <c r="D147" i="5"/>
  <c r="D148" i="5"/>
  <c r="D149" i="5"/>
  <c r="E149" i="5" s="1"/>
  <c r="F149" i="5" s="1"/>
  <c r="H149" i="5" s="1"/>
  <c r="D150" i="5"/>
  <c r="D151" i="5"/>
  <c r="E151" i="5" s="1"/>
  <c r="F151" i="5" s="1"/>
  <c r="H151" i="5" s="1"/>
  <c r="D152" i="5"/>
  <c r="D153" i="5"/>
  <c r="D154" i="5"/>
  <c r="D155" i="5"/>
  <c r="D156" i="5"/>
  <c r="D157" i="5"/>
  <c r="E157" i="5" s="1"/>
  <c r="F157" i="5" s="1"/>
  <c r="H157" i="5" s="1"/>
  <c r="D158" i="5"/>
  <c r="D159" i="5"/>
  <c r="D160" i="5"/>
  <c r="D161" i="5"/>
  <c r="D162" i="5"/>
  <c r="E162" i="5" s="1"/>
  <c r="F162" i="5" s="1"/>
  <c r="H162" i="5" s="1"/>
  <c r="D163" i="5"/>
  <c r="E163" i="5" s="1"/>
  <c r="F163" i="5" s="1"/>
  <c r="H163" i="5" s="1"/>
  <c r="D164" i="5"/>
  <c r="D165" i="5"/>
  <c r="D166" i="5"/>
  <c r="E166" i="5" s="1"/>
  <c r="F166" i="5" s="1"/>
  <c r="H166" i="5" s="1"/>
  <c r="D167" i="5"/>
  <c r="D168" i="5"/>
  <c r="D169" i="5"/>
  <c r="D170" i="5"/>
  <c r="D171" i="5"/>
  <c r="D172" i="5"/>
  <c r="D173" i="5"/>
  <c r="E173" i="5" s="1"/>
  <c r="F173" i="5" s="1"/>
  <c r="H173" i="5" s="1"/>
  <c r="D174" i="5"/>
  <c r="E174" i="5" s="1"/>
  <c r="F174" i="5" s="1"/>
  <c r="H174" i="5" s="1"/>
  <c r="D175" i="5"/>
  <c r="D176" i="5"/>
  <c r="D177" i="5"/>
  <c r="D178" i="5"/>
  <c r="D179" i="5"/>
  <c r="E179" i="5" s="1"/>
  <c r="F179" i="5" s="1"/>
  <c r="H179" i="5" s="1"/>
  <c r="D180" i="5"/>
  <c r="D181" i="5"/>
  <c r="E181" i="5" s="1"/>
  <c r="F181" i="5" s="1"/>
  <c r="H181" i="5" s="1"/>
  <c r="D182" i="5"/>
  <c r="D183" i="5"/>
  <c r="D184" i="5"/>
  <c r="D185" i="5"/>
  <c r="D186" i="5"/>
  <c r="D187" i="5"/>
  <c r="D188" i="5"/>
  <c r="D189" i="5"/>
  <c r="E189" i="5" s="1"/>
  <c r="F189" i="5" s="1"/>
  <c r="H189" i="5" s="1"/>
  <c r="D190" i="5"/>
  <c r="D191" i="5"/>
  <c r="E191" i="5" s="1"/>
  <c r="F191" i="5" s="1"/>
  <c r="H191" i="5" s="1"/>
  <c r="D192" i="5"/>
  <c r="D193" i="5"/>
  <c r="D194" i="5"/>
  <c r="E194" i="5" s="1"/>
  <c r="F194" i="5" s="1"/>
  <c r="H194" i="5" s="1"/>
  <c r="D195" i="5"/>
  <c r="D196" i="5"/>
  <c r="D197" i="5"/>
  <c r="E197" i="5" s="1"/>
  <c r="F197" i="5" s="1"/>
  <c r="H197" i="5" s="1"/>
  <c r="D198" i="5"/>
  <c r="E198" i="5" s="1"/>
  <c r="F198" i="5" s="1"/>
  <c r="H198" i="5" s="1"/>
  <c r="D199" i="5"/>
  <c r="D200" i="5"/>
  <c r="D201" i="5"/>
  <c r="D202" i="5"/>
  <c r="E202" i="5" s="1"/>
  <c r="F202" i="5" s="1"/>
  <c r="H202" i="5" s="1"/>
  <c r="D203" i="5"/>
  <c r="E203" i="5" s="1"/>
  <c r="F203" i="5" s="1"/>
  <c r="H203" i="5" s="1"/>
  <c r="D204" i="5"/>
  <c r="D205" i="5"/>
  <c r="D206" i="5"/>
  <c r="E206" i="5" s="1"/>
  <c r="F206" i="5" s="1"/>
  <c r="H206" i="5" s="1"/>
  <c r="D207" i="5"/>
  <c r="D208" i="5"/>
  <c r="D209" i="5"/>
  <c r="D210" i="5"/>
  <c r="E210" i="5" s="1"/>
  <c r="F210" i="5" s="1"/>
  <c r="H210" i="5" s="1"/>
  <c r="D211" i="5"/>
  <c r="D212" i="5"/>
  <c r="D213" i="5"/>
  <c r="E213" i="5" s="1"/>
  <c r="F213" i="5" s="1"/>
  <c r="H213" i="5" s="1"/>
  <c r="D214" i="5"/>
  <c r="D215" i="5"/>
  <c r="D216" i="5"/>
  <c r="D217" i="5"/>
  <c r="D218" i="5"/>
  <c r="D219" i="5"/>
  <c r="D220" i="5"/>
  <c r="D221" i="5"/>
  <c r="E221" i="5" s="1"/>
  <c r="F221" i="5" s="1"/>
  <c r="H221" i="5" s="1"/>
  <c r="D222" i="5"/>
  <c r="D223" i="5"/>
  <c r="D224" i="5"/>
  <c r="D225" i="5"/>
  <c r="D226" i="5"/>
  <c r="D227" i="5"/>
  <c r="D228" i="5"/>
  <c r="D229" i="5"/>
  <c r="E229" i="5" s="1"/>
  <c r="F229" i="5" s="1"/>
  <c r="H229" i="5" s="1"/>
  <c r="D230" i="5"/>
  <c r="E230" i="5" s="1"/>
  <c r="F230" i="5" s="1"/>
  <c r="H230" i="5" s="1"/>
  <c r="D231" i="5"/>
  <c r="D232" i="5"/>
  <c r="D233" i="5"/>
  <c r="D234" i="5"/>
  <c r="E234" i="5" s="1"/>
  <c r="F234" i="5" s="1"/>
  <c r="H234" i="5" s="1"/>
  <c r="D235" i="5"/>
  <c r="D236" i="5"/>
  <c r="D237" i="5"/>
  <c r="E237" i="5" s="1"/>
  <c r="F237" i="5" s="1"/>
  <c r="H237" i="5" s="1"/>
  <c r="D238" i="5"/>
  <c r="E238" i="5" s="1"/>
  <c r="F238" i="5" s="1"/>
  <c r="H238" i="5" s="1"/>
  <c r="D239" i="5"/>
  <c r="D240" i="5"/>
  <c r="D241" i="5"/>
  <c r="D242" i="5"/>
  <c r="E242" i="5" s="1"/>
  <c r="F242" i="5" s="1"/>
  <c r="H242" i="5" s="1"/>
  <c r="D243" i="5"/>
  <c r="D244" i="5"/>
  <c r="D245" i="5"/>
  <c r="E245" i="5" s="1"/>
  <c r="F245" i="5" s="1"/>
  <c r="H245" i="5" s="1"/>
  <c r="D246" i="5"/>
  <c r="E246" i="5" s="1"/>
  <c r="F246" i="5" s="1"/>
  <c r="H246" i="5" s="1"/>
  <c r="D247" i="5"/>
  <c r="D248" i="5"/>
  <c r="D249" i="5"/>
  <c r="D250" i="5"/>
  <c r="E250" i="5" s="1"/>
  <c r="F250" i="5" s="1"/>
  <c r="H250" i="5" s="1"/>
  <c r="D251" i="5"/>
  <c r="D252" i="5"/>
  <c r="D253" i="5"/>
  <c r="E253" i="5" s="1"/>
  <c r="F253" i="5" s="1"/>
  <c r="H253" i="5" s="1"/>
  <c r="D254" i="5"/>
  <c r="E254" i="5" s="1"/>
  <c r="F254" i="5" s="1"/>
  <c r="H254" i="5" s="1"/>
  <c r="D255" i="5"/>
  <c r="D256" i="5"/>
  <c r="D257" i="5"/>
  <c r="D258" i="5"/>
  <c r="D259" i="5"/>
  <c r="E259" i="5" s="1"/>
  <c r="F259" i="5" s="1"/>
  <c r="H259" i="5" s="1"/>
  <c r="D260" i="5"/>
  <c r="D261" i="5"/>
  <c r="E261" i="5" s="1"/>
  <c r="F261" i="5" s="1"/>
  <c r="H261" i="5" s="1"/>
  <c r="D262" i="5"/>
  <c r="D263" i="5"/>
  <c r="D264" i="5"/>
  <c r="D265" i="5"/>
  <c r="D266" i="5"/>
  <c r="D267" i="5"/>
  <c r="E267" i="5" s="1"/>
  <c r="F267" i="5" s="1"/>
  <c r="H267" i="5" s="1"/>
  <c r="D268" i="5"/>
  <c r="D269" i="5"/>
  <c r="E269" i="5" s="1"/>
  <c r="F269" i="5" s="1"/>
  <c r="H269" i="5" s="1"/>
  <c r="D270" i="5"/>
  <c r="D271" i="5"/>
  <c r="D272" i="5"/>
  <c r="D273" i="5"/>
  <c r="D274" i="5"/>
  <c r="D275" i="5"/>
  <c r="E275" i="5" s="1"/>
  <c r="F275" i="5" s="1"/>
  <c r="H275" i="5" s="1"/>
  <c r="D276" i="5"/>
  <c r="D277" i="5"/>
  <c r="E277" i="5" s="1"/>
  <c r="F277" i="5" s="1"/>
  <c r="H277" i="5" s="1"/>
  <c r="D278" i="5"/>
  <c r="D279" i="5"/>
  <c r="D280" i="5"/>
  <c r="D281" i="5"/>
  <c r="D282" i="5"/>
  <c r="D283" i="5"/>
  <c r="E283" i="5" s="1"/>
  <c r="F283" i="5" s="1"/>
  <c r="H283" i="5" s="1"/>
  <c r="D284" i="5"/>
  <c r="D285" i="5"/>
  <c r="E285" i="5" s="1"/>
  <c r="F285" i="5" s="1"/>
  <c r="H285" i="5" s="1"/>
  <c r="D286" i="5"/>
  <c r="D287" i="5"/>
  <c r="D288" i="5"/>
  <c r="D289" i="5"/>
  <c r="D290" i="5"/>
  <c r="D291" i="5"/>
  <c r="E291" i="5" s="1"/>
  <c r="F291" i="5" s="1"/>
  <c r="H291" i="5" s="1"/>
  <c r="D292" i="5"/>
  <c r="D293" i="5"/>
  <c r="E293" i="5" s="1"/>
  <c r="F293" i="5" s="1"/>
  <c r="H293" i="5" s="1"/>
  <c r="D294" i="5"/>
  <c r="D295" i="5"/>
  <c r="E295" i="5" s="1"/>
  <c r="F295" i="5" s="1"/>
  <c r="H295" i="5" s="1"/>
  <c r="D296" i="5"/>
  <c r="D297" i="5"/>
  <c r="D298" i="5"/>
  <c r="E298" i="5" s="1"/>
  <c r="F298" i="5" s="1"/>
  <c r="H298" i="5" s="1"/>
  <c r="D299" i="5"/>
  <c r="E299" i="5" s="1"/>
  <c r="F299" i="5" s="1"/>
  <c r="H299" i="5" s="1"/>
  <c r="D300" i="5"/>
  <c r="D301" i="5"/>
  <c r="E301" i="5" s="1"/>
  <c r="F301" i="5" s="1"/>
  <c r="H301" i="5" s="1"/>
  <c r="D302" i="5"/>
  <c r="E302" i="5" s="1"/>
  <c r="F302" i="5" s="1"/>
  <c r="H302" i="5" s="1"/>
  <c r="D303" i="5"/>
  <c r="D304" i="5"/>
  <c r="D305" i="5"/>
  <c r="D306" i="5"/>
  <c r="D307" i="5"/>
  <c r="D308" i="5"/>
  <c r="D309" i="5"/>
  <c r="E309" i="5" s="1"/>
  <c r="F309" i="5" s="1"/>
  <c r="H309" i="5" s="1"/>
  <c r="D310" i="5"/>
  <c r="E310" i="5" s="1"/>
  <c r="F310" i="5" s="1"/>
  <c r="H310" i="5" s="1"/>
  <c r="D311" i="5"/>
  <c r="E311" i="5" s="1"/>
  <c r="F311" i="5" s="1"/>
  <c r="H311" i="5" s="1"/>
  <c r="D312" i="5"/>
  <c r="D313" i="5"/>
  <c r="D314" i="5"/>
  <c r="D315" i="5"/>
  <c r="E315" i="5" s="1"/>
  <c r="F315" i="5" s="1"/>
  <c r="H315" i="5" s="1"/>
  <c r="D316" i="5"/>
  <c r="D317" i="5"/>
  <c r="E317" i="5" s="1"/>
  <c r="F317" i="5" s="1"/>
  <c r="H317" i="5" s="1"/>
  <c r="D318" i="5"/>
  <c r="E318" i="5" s="1"/>
  <c r="F318" i="5" s="1"/>
  <c r="H318" i="5" s="1"/>
  <c r="D319" i="5"/>
  <c r="D320" i="5"/>
  <c r="D321" i="5"/>
  <c r="D322" i="5"/>
  <c r="E322" i="5" s="1"/>
  <c r="F322" i="5" s="1"/>
  <c r="H322" i="5" s="1"/>
  <c r="D323" i="5"/>
  <c r="E323" i="5" s="1"/>
  <c r="F323" i="5" s="1"/>
  <c r="H323" i="5" s="1"/>
  <c r="D324" i="5"/>
  <c r="D325" i="5"/>
  <c r="D326" i="5"/>
  <c r="E326" i="5" s="1"/>
  <c r="F326" i="5" s="1"/>
  <c r="H326" i="5" s="1"/>
  <c r="D327" i="5"/>
  <c r="E327" i="5" s="1"/>
  <c r="F327" i="5" s="1"/>
  <c r="H327" i="5" s="1"/>
  <c r="D328" i="5"/>
  <c r="D329" i="5"/>
  <c r="D330" i="5"/>
  <c r="D331" i="5"/>
  <c r="E331" i="5" s="1"/>
  <c r="F331" i="5" s="1"/>
  <c r="H331" i="5" s="1"/>
  <c r="D332" i="5"/>
  <c r="D333" i="5"/>
  <c r="E333" i="5" s="1"/>
  <c r="F333" i="5" s="1"/>
  <c r="H333" i="5" s="1"/>
  <c r="D334" i="5"/>
  <c r="E334" i="5" s="1"/>
  <c r="F334" i="5" s="1"/>
  <c r="H334" i="5" s="1"/>
  <c r="D335" i="5"/>
  <c r="D336" i="5"/>
  <c r="D337" i="5"/>
  <c r="D338" i="5"/>
  <c r="D339" i="5"/>
  <c r="E339" i="5" s="1"/>
  <c r="F339" i="5" s="1"/>
  <c r="H339" i="5" s="1"/>
  <c r="D340" i="5"/>
  <c r="D341" i="5"/>
  <c r="E341" i="5" s="1"/>
  <c r="F341" i="5" s="1"/>
  <c r="H341" i="5" s="1"/>
  <c r="D342" i="5"/>
  <c r="D343" i="5"/>
  <c r="D344" i="5"/>
  <c r="D345" i="5"/>
  <c r="D346" i="5"/>
  <c r="D347" i="5"/>
  <c r="D348" i="5"/>
  <c r="D349" i="5"/>
  <c r="E349" i="5" s="1"/>
  <c r="F349" i="5" s="1"/>
  <c r="H349" i="5" s="1"/>
  <c r="D350" i="5"/>
  <c r="E350" i="5" s="1"/>
  <c r="F350" i="5" s="1"/>
  <c r="H350" i="5" s="1"/>
  <c r="D351" i="5"/>
  <c r="D352" i="5"/>
  <c r="D353" i="5"/>
  <c r="D354" i="5"/>
  <c r="E354" i="5" s="1"/>
  <c r="F354" i="5" s="1"/>
  <c r="H354" i="5" s="1"/>
  <c r="D355" i="5"/>
  <c r="E355" i="5" s="1"/>
  <c r="F355" i="5" s="1"/>
  <c r="H355" i="5" s="1"/>
  <c r="D356" i="5"/>
  <c r="D357" i="5"/>
  <c r="D358" i="5"/>
  <c r="E358" i="5" s="1"/>
  <c r="F358" i="5" s="1"/>
  <c r="H358" i="5" s="1"/>
  <c r="D359" i="5"/>
  <c r="E359" i="5" s="1"/>
  <c r="F359" i="5" s="1"/>
  <c r="H359" i="5" s="1"/>
  <c r="D360" i="5"/>
  <c r="D361" i="5"/>
  <c r="D362" i="5"/>
  <c r="D363" i="5"/>
  <c r="E363" i="5" s="1"/>
  <c r="F363" i="5" s="1"/>
  <c r="H363" i="5" s="1"/>
  <c r="D364" i="5"/>
  <c r="D365" i="5"/>
  <c r="E365" i="5" s="1"/>
  <c r="F365" i="5" s="1"/>
  <c r="H365" i="5" s="1"/>
  <c r="D366" i="5"/>
  <c r="E366" i="5" s="1"/>
  <c r="F366" i="5" s="1"/>
  <c r="H366" i="5" s="1"/>
  <c r="D5" i="5"/>
  <c r="E364" i="5"/>
  <c r="F364" i="5" s="1"/>
  <c r="H364" i="5" s="1"/>
  <c r="E362" i="5"/>
  <c r="F362" i="5" s="1"/>
  <c r="H362" i="5" s="1"/>
  <c r="E361" i="5"/>
  <c r="F361" i="5" s="1"/>
  <c r="H361" i="5" s="1"/>
  <c r="E360" i="5"/>
  <c r="F360" i="5" s="1"/>
  <c r="H360" i="5" s="1"/>
  <c r="E357" i="5"/>
  <c r="F357" i="5" s="1"/>
  <c r="H357" i="5" s="1"/>
  <c r="E356" i="5"/>
  <c r="F356" i="5" s="1"/>
  <c r="H356" i="5" s="1"/>
  <c r="F353" i="5"/>
  <c r="H353" i="5" s="1"/>
  <c r="E353" i="5"/>
  <c r="E352" i="5"/>
  <c r="F352" i="5" s="1"/>
  <c r="H352" i="5" s="1"/>
  <c r="F351" i="5"/>
  <c r="H351" i="5" s="1"/>
  <c r="E351" i="5"/>
  <c r="E348" i="5"/>
  <c r="F348" i="5" s="1"/>
  <c r="H348" i="5" s="1"/>
  <c r="F347" i="5"/>
  <c r="H347" i="5" s="1"/>
  <c r="E347" i="5"/>
  <c r="E346" i="5"/>
  <c r="F346" i="5" s="1"/>
  <c r="H346" i="5" s="1"/>
  <c r="E345" i="5"/>
  <c r="F345" i="5" s="1"/>
  <c r="H345" i="5" s="1"/>
  <c r="E344" i="5"/>
  <c r="F344" i="5" s="1"/>
  <c r="H344" i="5" s="1"/>
  <c r="E343" i="5"/>
  <c r="F343" i="5" s="1"/>
  <c r="H343" i="5" s="1"/>
  <c r="E342" i="5"/>
  <c r="F342" i="5" s="1"/>
  <c r="H342" i="5" s="1"/>
  <c r="E340" i="5"/>
  <c r="F340" i="5" s="1"/>
  <c r="H340" i="5" s="1"/>
  <c r="E338" i="5"/>
  <c r="F338" i="5" s="1"/>
  <c r="H338" i="5" s="1"/>
  <c r="H337" i="5"/>
  <c r="F337" i="5"/>
  <c r="E337" i="5"/>
  <c r="E336" i="5"/>
  <c r="F336" i="5" s="1"/>
  <c r="H336" i="5" s="1"/>
  <c r="E335" i="5"/>
  <c r="F335" i="5" s="1"/>
  <c r="H335" i="5" s="1"/>
  <c r="E332" i="5"/>
  <c r="F332" i="5" s="1"/>
  <c r="H332" i="5" s="1"/>
  <c r="E330" i="5"/>
  <c r="F330" i="5" s="1"/>
  <c r="H330" i="5" s="1"/>
  <c r="F329" i="5"/>
  <c r="H329" i="5" s="1"/>
  <c r="E329" i="5"/>
  <c r="E328" i="5"/>
  <c r="F328" i="5" s="1"/>
  <c r="H328" i="5" s="1"/>
  <c r="E325" i="5"/>
  <c r="F325" i="5" s="1"/>
  <c r="H325" i="5" s="1"/>
  <c r="E324" i="5"/>
  <c r="F324" i="5" s="1"/>
  <c r="H324" i="5" s="1"/>
  <c r="F321" i="5"/>
  <c r="H321" i="5" s="1"/>
  <c r="E321" i="5"/>
  <c r="E320" i="5"/>
  <c r="F320" i="5" s="1"/>
  <c r="H320" i="5" s="1"/>
  <c r="F319" i="5"/>
  <c r="H319" i="5" s="1"/>
  <c r="E319" i="5"/>
  <c r="E316" i="5"/>
  <c r="F316" i="5" s="1"/>
  <c r="H316" i="5" s="1"/>
  <c r="E314" i="5"/>
  <c r="F314" i="5" s="1"/>
  <c r="H314" i="5" s="1"/>
  <c r="E313" i="5"/>
  <c r="F313" i="5" s="1"/>
  <c r="H313" i="5" s="1"/>
  <c r="E312" i="5"/>
  <c r="F312" i="5" s="1"/>
  <c r="H312" i="5" s="1"/>
  <c r="E308" i="5"/>
  <c r="F308" i="5" s="1"/>
  <c r="H308" i="5" s="1"/>
  <c r="F307" i="5"/>
  <c r="H307" i="5" s="1"/>
  <c r="E307" i="5"/>
  <c r="E306" i="5"/>
  <c r="F306" i="5" s="1"/>
  <c r="H306" i="5" s="1"/>
  <c r="E305" i="5"/>
  <c r="F305" i="5" s="1"/>
  <c r="H305" i="5" s="1"/>
  <c r="E304" i="5"/>
  <c r="F304" i="5" s="1"/>
  <c r="H304" i="5" s="1"/>
  <c r="E303" i="5"/>
  <c r="F303" i="5" s="1"/>
  <c r="H303" i="5" s="1"/>
  <c r="E300" i="5"/>
  <c r="F300" i="5" s="1"/>
  <c r="H300" i="5" s="1"/>
  <c r="E297" i="5"/>
  <c r="F297" i="5" s="1"/>
  <c r="H297" i="5" s="1"/>
  <c r="E296" i="5"/>
  <c r="F296" i="5" s="1"/>
  <c r="H296" i="5" s="1"/>
  <c r="E294" i="5"/>
  <c r="F294" i="5" s="1"/>
  <c r="H294" i="5" s="1"/>
  <c r="E292" i="5"/>
  <c r="F292" i="5" s="1"/>
  <c r="H292" i="5" s="1"/>
  <c r="E290" i="5"/>
  <c r="F290" i="5" s="1"/>
  <c r="H290" i="5" s="1"/>
  <c r="E289" i="5"/>
  <c r="F289" i="5" s="1"/>
  <c r="H289" i="5" s="1"/>
  <c r="E288" i="5"/>
  <c r="F288" i="5" s="1"/>
  <c r="H288" i="5" s="1"/>
  <c r="E287" i="5"/>
  <c r="F287" i="5" s="1"/>
  <c r="H287" i="5" s="1"/>
  <c r="E286" i="5"/>
  <c r="F286" i="5" s="1"/>
  <c r="H286" i="5" s="1"/>
  <c r="E284" i="5"/>
  <c r="F284" i="5" s="1"/>
  <c r="H284" i="5" s="1"/>
  <c r="E282" i="5"/>
  <c r="F282" i="5" s="1"/>
  <c r="H282" i="5" s="1"/>
  <c r="E281" i="5"/>
  <c r="F281" i="5" s="1"/>
  <c r="H281" i="5" s="1"/>
  <c r="E280" i="5"/>
  <c r="F280" i="5" s="1"/>
  <c r="H280" i="5" s="1"/>
  <c r="E279" i="5"/>
  <c r="F279" i="5" s="1"/>
  <c r="H279" i="5" s="1"/>
  <c r="E278" i="5"/>
  <c r="F278" i="5" s="1"/>
  <c r="H278" i="5" s="1"/>
  <c r="E276" i="5"/>
  <c r="F276" i="5" s="1"/>
  <c r="H276" i="5" s="1"/>
  <c r="E274" i="5"/>
  <c r="F274" i="5" s="1"/>
  <c r="H274" i="5" s="1"/>
  <c r="E273" i="5"/>
  <c r="F273" i="5" s="1"/>
  <c r="H273" i="5" s="1"/>
  <c r="E272" i="5"/>
  <c r="F272" i="5" s="1"/>
  <c r="H272" i="5" s="1"/>
  <c r="E271" i="5"/>
  <c r="F271" i="5" s="1"/>
  <c r="H271" i="5" s="1"/>
  <c r="E270" i="5"/>
  <c r="F270" i="5" s="1"/>
  <c r="H270" i="5" s="1"/>
  <c r="E268" i="5"/>
  <c r="F268" i="5" s="1"/>
  <c r="H268" i="5" s="1"/>
  <c r="E266" i="5"/>
  <c r="F266" i="5" s="1"/>
  <c r="H266" i="5" s="1"/>
  <c r="E265" i="5"/>
  <c r="F265" i="5" s="1"/>
  <c r="H265" i="5" s="1"/>
  <c r="E264" i="5"/>
  <c r="F264" i="5" s="1"/>
  <c r="H264" i="5" s="1"/>
  <c r="E263" i="5"/>
  <c r="F263" i="5" s="1"/>
  <c r="H263" i="5" s="1"/>
  <c r="E262" i="5"/>
  <c r="F262" i="5" s="1"/>
  <c r="H262" i="5" s="1"/>
  <c r="E260" i="5"/>
  <c r="F260" i="5" s="1"/>
  <c r="H260" i="5" s="1"/>
  <c r="E258" i="5"/>
  <c r="F258" i="5" s="1"/>
  <c r="H258" i="5" s="1"/>
  <c r="E257" i="5"/>
  <c r="F257" i="5" s="1"/>
  <c r="H257" i="5" s="1"/>
  <c r="E256" i="5"/>
  <c r="F256" i="5" s="1"/>
  <c r="H256" i="5" s="1"/>
  <c r="F255" i="5"/>
  <c r="H255" i="5" s="1"/>
  <c r="E255" i="5"/>
  <c r="E252" i="5"/>
  <c r="F252" i="5" s="1"/>
  <c r="H252" i="5" s="1"/>
  <c r="E251" i="5"/>
  <c r="F251" i="5" s="1"/>
  <c r="H251" i="5" s="1"/>
  <c r="E249" i="5"/>
  <c r="F249" i="5" s="1"/>
  <c r="H249" i="5" s="1"/>
  <c r="E248" i="5"/>
  <c r="F248" i="5" s="1"/>
  <c r="H248" i="5" s="1"/>
  <c r="E247" i="5"/>
  <c r="F247" i="5" s="1"/>
  <c r="H247" i="5" s="1"/>
  <c r="E244" i="5"/>
  <c r="F244" i="5" s="1"/>
  <c r="H244" i="5" s="1"/>
  <c r="E243" i="5"/>
  <c r="F243" i="5" s="1"/>
  <c r="H243" i="5" s="1"/>
  <c r="E241" i="5"/>
  <c r="F241" i="5" s="1"/>
  <c r="H241" i="5" s="1"/>
  <c r="E240" i="5"/>
  <c r="F240" i="5" s="1"/>
  <c r="H240" i="5" s="1"/>
  <c r="E239" i="5"/>
  <c r="F239" i="5" s="1"/>
  <c r="H239" i="5" s="1"/>
  <c r="E236" i="5"/>
  <c r="F236" i="5" s="1"/>
  <c r="H236" i="5" s="1"/>
  <c r="E235" i="5"/>
  <c r="F235" i="5" s="1"/>
  <c r="H235" i="5" s="1"/>
  <c r="E233" i="5"/>
  <c r="F233" i="5" s="1"/>
  <c r="H233" i="5" s="1"/>
  <c r="E232" i="5"/>
  <c r="F232" i="5" s="1"/>
  <c r="H232" i="5" s="1"/>
  <c r="E231" i="5"/>
  <c r="F231" i="5" s="1"/>
  <c r="H231" i="5" s="1"/>
  <c r="E228" i="5"/>
  <c r="F228" i="5" s="1"/>
  <c r="H228" i="5" s="1"/>
  <c r="E227" i="5"/>
  <c r="F227" i="5" s="1"/>
  <c r="H227" i="5" s="1"/>
  <c r="E226" i="5"/>
  <c r="F226" i="5" s="1"/>
  <c r="H226" i="5" s="1"/>
  <c r="E225" i="5"/>
  <c r="F225" i="5" s="1"/>
  <c r="H225" i="5" s="1"/>
  <c r="E224" i="5"/>
  <c r="F224" i="5" s="1"/>
  <c r="H224" i="5" s="1"/>
  <c r="E223" i="5"/>
  <c r="F223" i="5" s="1"/>
  <c r="H223" i="5" s="1"/>
  <c r="E222" i="5"/>
  <c r="F222" i="5" s="1"/>
  <c r="H222" i="5" s="1"/>
  <c r="E220" i="5"/>
  <c r="F220" i="5" s="1"/>
  <c r="H220" i="5" s="1"/>
  <c r="E219" i="5"/>
  <c r="F219" i="5" s="1"/>
  <c r="H219" i="5" s="1"/>
  <c r="E218" i="5"/>
  <c r="F218" i="5" s="1"/>
  <c r="H218" i="5" s="1"/>
  <c r="E217" i="5"/>
  <c r="F217" i="5" s="1"/>
  <c r="H217" i="5" s="1"/>
  <c r="E216" i="5"/>
  <c r="F216" i="5" s="1"/>
  <c r="H216" i="5" s="1"/>
  <c r="E215" i="5"/>
  <c r="F215" i="5" s="1"/>
  <c r="H215" i="5" s="1"/>
  <c r="E214" i="5"/>
  <c r="F214" i="5" s="1"/>
  <c r="H214" i="5" s="1"/>
  <c r="E212" i="5"/>
  <c r="F212" i="5" s="1"/>
  <c r="H212" i="5" s="1"/>
  <c r="E211" i="5"/>
  <c r="F211" i="5" s="1"/>
  <c r="H211" i="5" s="1"/>
  <c r="E209" i="5"/>
  <c r="F209" i="5" s="1"/>
  <c r="H209" i="5" s="1"/>
  <c r="E208" i="5"/>
  <c r="F208" i="5" s="1"/>
  <c r="H208" i="5" s="1"/>
  <c r="E207" i="5"/>
  <c r="F207" i="5" s="1"/>
  <c r="H207" i="5" s="1"/>
  <c r="E205" i="5"/>
  <c r="F205" i="5" s="1"/>
  <c r="H205" i="5" s="1"/>
  <c r="E204" i="5"/>
  <c r="F204" i="5" s="1"/>
  <c r="H204" i="5" s="1"/>
  <c r="E201" i="5"/>
  <c r="F201" i="5" s="1"/>
  <c r="H201" i="5" s="1"/>
  <c r="E200" i="5"/>
  <c r="F200" i="5" s="1"/>
  <c r="H200" i="5" s="1"/>
  <c r="E199" i="5"/>
  <c r="F199" i="5" s="1"/>
  <c r="H199" i="5" s="1"/>
  <c r="E196" i="5"/>
  <c r="F196" i="5" s="1"/>
  <c r="H196" i="5" s="1"/>
  <c r="E195" i="5"/>
  <c r="F195" i="5" s="1"/>
  <c r="H195" i="5" s="1"/>
  <c r="F193" i="5"/>
  <c r="H193" i="5" s="1"/>
  <c r="E193" i="5"/>
  <c r="F192" i="5"/>
  <c r="H192" i="5" s="1"/>
  <c r="E192" i="5"/>
  <c r="E190" i="5"/>
  <c r="F190" i="5" s="1"/>
  <c r="H190" i="5" s="1"/>
  <c r="E188" i="5"/>
  <c r="F188" i="5" s="1"/>
  <c r="H188" i="5" s="1"/>
  <c r="E187" i="5"/>
  <c r="F187" i="5" s="1"/>
  <c r="H187" i="5" s="1"/>
  <c r="E186" i="5"/>
  <c r="F186" i="5" s="1"/>
  <c r="H186" i="5" s="1"/>
  <c r="E185" i="5"/>
  <c r="F185" i="5" s="1"/>
  <c r="H185" i="5" s="1"/>
  <c r="E184" i="5"/>
  <c r="F184" i="5" s="1"/>
  <c r="H184" i="5" s="1"/>
  <c r="E183" i="5"/>
  <c r="F183" i="5" s="1"/>
  <c r="H183" i="5" s="1"/>
  <c r="E182" i="5"/>
  <c r="F182" i="5" s="1"/>
  <c r="H182" i="5" s="1"/>
  <c r="E180" i="5"/>
  <c r="F180" i="5" s="1"/>
  <c r="H180" i="5" s="1"/>
  <c r="E178" i="5"/>
  <c r="F178" i="5" s="1"/>
  <c r="H178" i="5" s="1"/>
  <c r="F177" i="5"/>
  <c r="H177" i="5" s="1"/>
  <c r="E177" i="5"/>
  <c r="F176" i="5"/>
  <c r="H176" i="5" s="1"/>
  <c r="E176" i="5"/>
  <c r="E175" i="5"/>
  <c r="F175" i="5" s="1"/>
  <c r="H175" i="5" s="1"/>
  <c r="F172" i="5"/>
  <c r="H172" i="5" s="1"/>
  <c r="E172" i="5"/>
  <c r="E171" i="5"/>
  <c r="F171" i="5" s="1"/>
  <c r="H171" i="5" s="1"/>
  <c r="E170" i="5"/>
  <c r="F170" i="5" s="1"/>
  <c r="H170" i="5" s="1"/>
  <c r="F169" i="5"/>
  <c r="H169" i="5" s="1"/>
  <c r="E169" i="5"/>
  <c r="E168" i="5"/>
  <c r="F168" i="5" s="1"/>
  <c r="H168" i="5" s="1"/>
  <c r="E167" i="5"/>
  <c r="F167" i="5" s="1"/>
  <c r="H167" i="5" s="1"/>
  <c r="E165" i="5"/>
  <c r="F165" i="5" s="1"/>
  <c r="H165" i="5" s="1"/>
  <c r="F164" i="5"/>
  <c r="H164" i="5" s="1"/>
  <c r="E164" i="5"/>
  <c r="E161" i="5"/>
  <c r="F161" i="5" s="1"/>
  <c r="H161" i="5" s="1"/>
  <c r="E160" i="5"/>
  <c r="F160" i="5" s="1"/>
  <c r="H160" i="5" s="1"/>
  <c r="E159" i="5"/>
  <c r="F159" i="5" s="1"/>
  <c r="H159" i="5" s="1"/>
  <c r="E158" i="5"/>
  <c r="F158" i="5" s="1"/>
  <c r="H158" i="5" s="1"/>
  <c r="E156" i="5"/>
  <c r="F156" i="5" s="1"/>
  <c r="H156" i="5" s="1"/>
  <c r="E155" i="5"/>
  <c r="F155" i="5" s="1"/>
  <c r="H155" i="5" s="1"/>
  <c r="E154" i="5"/>
  <c r="F154" i="5" s="1"/>
  <c r="H154" i="5" s="1"/>
  <c r="E153" i="5"/>
  <c r="F153" i="5" s="1"/>
  <c r="H153" i="5" s="1"/>
  <c r="E152" i="5"/>
  <c r="F152" i="5" s="1"/>
  <c r="H152" i="5" s="1"/>
  <c r="E150" i="5"/>
  <c r="F150" i="5" s="1"/>
  <c r="H150" i="5" s="1"/>
  <c r="E148" i="5"/>
  <c r="F148" i="5" s="1"/>
  <c r="H148" i="5" s="1"/>
  <c r="E147" i="5"/>
  <c r="F147" i="5" s="1"/>
  <c r="H147" i="5" s="1"/>
  <c r="F146" i="5"/>
  <c r="H146" i="5" s="1"/>
  <c r="E146" i="5"/>
  <c r="E145" i="5"/>
  <c r="F145" i="5" s="1"/>
  <c r="H145" i="5" s="1"/>
  <c r="E144" i="5"/>
  <c r="F144" i="5" s="1"/>
  <c r="H144" i="5" s="1"/>
  <c r="E142" i="5"/>
  <c r="F142" i="5" s="1"/>
  <c r="H142" i="5" s="1"/>
  <c r="F140" i="5"/>
  <c r="H140" i="5" s="1"/>
  <c r="E140" i="5"/>
  <c r="E138" i="5"/>
  <c r="F138" i="5" s="1"/>
  <c r="H138" i="5" s="1"/>
  <c r="E137" i="5"/>
  <c r="F137" i="5" s="1"/>
  <c r="H137" i="5" s="1"/>
  <c r="E136" i="5"/>
  <c r="F136" i="5" s="1"/>
  <c r="H136" i="5" s="1"/>
  <c r="E135" i="5"/>
  <c r="F135" i="5" s="1"/>
  <c r="H135" i="5" s="1"/>
  <c r="E132" i="5"/>
  <c r="F132" i="5" s="1"/>
  <c r="H132" i="5" s="1"/>
  <c r="E131" i="5"/>
  <c r="F131" i="5" s="1"/>
  <c r="H131" i="5" s="1"/>
  <c r="E129" i="5"/>
  <c r="F129" i="5" s="1"/>
  <c r="H129" i="5" s="1"/>
  <c r="E128" i="5"/>
  <c r="F128" i="5" s="1"/>
  <c r="H128" i="5" s="1"/>
  <c r="E127" i="5"/>
  <c r="F127" i="5" s="1"/>
  <c r="H127" i="5" s="1"/>
  <c r="E124" i="5"/>
  <c r="F124" i="5" s="1"/>
  <c r="H124" i="5" s="1"/>
  <c r="E122" i="5"/>
  <c r="F122" i="5" s="1"/>
  <c r="H122" i="5" s="1"/>
  <c r="E121" i="5"/>
  <c r="F121" i="5" s="1"/>
  <c r="H121" i="5" s="1"/>
  <c r="F120" i="5"/>
  <c r="H120" i="5" s="1"/>
  <c r="E120" i="5"/>
  <c r="E118" i="5"/>
  <c r="F118" i="5" s="1"/>
  <c r="H118" i="5" s="1"/>
  <c r="E116" i="5"/>
  <c r="F116" i="5" s="1"/>
  <c r="H116" i="5" s="1"/>
  <c r="E115" i="5"/>
  <c r="F115" i="5" s="1"/>
  <c r="H115" i="5" s="1"/>
  <c r="E114" i="5"/>
  <c r="F114" i="5" s="1"/>
  <c r="H114" i="5" s="1"/>
  <c r="E113" i="5"/>
  <c r="F113" i="5" s="1"/>
  <c r="H113" i="5" s="1"/>
  <c r="E112" i="5"/>
  <c r="F112" i="5" s="1"/>
  <c r="H112" i="5" s="1"/>
  <c r="E111" i="5"/>
  <c r="F111" i="5" s="1"/>
  <c r="H111" i="5" s="1"/>
  <c r="E110" i="5"/>
  <c r="F110" i="5" s="1"/>
  <c r="H110" i="5" s="1"/>
  <c r="E108" i="5"/>
  <c r="F108" i="5" s="1"/>
  <c r="H108" i="5" s="1"/>
  <c r="E107" i="5"/>
  <c r="F107" i="5" s="1"/>
  <c r="H107" i="5" s="1"/>
  <c r="E106" i="5"/>
  <c r="F106" i="5" s="1"/>
  <c r="H106" i="5" s="1"/>
  <c r="E105" i="5"/>
  <c r="F105" i="5" s="1"/>
  <c r="H105" i="5" s="1"/>
  <c r="E104" i="5"/>
  <c r="F104" i="5" s="1"/>
  <c r="H104" i="5" s="1"/>
  <c r="E103" i="5"/>
  <c r="F103" i="5" s="1"/>
  <c r="H103" i="5" s="1"/>
  <c r="E102" i="5"/>
  <c r="F102" i="5" s="1"/>
  <c r="H102" i="5" s="1"/>
  <c r="E100" i="5"/>
  <c r="F100" i="5" s="1"/>
  <c r="H100" i="5" s="1"/>
  <c r="E99" i="5"/>
  <c r="F99" i="5" s="1"/>
  <c r="H99" i="5" s="1"/>
  <c r="E98" i="5"/>
  <c r="F98" i="5" s="1"/>
  <c r="H98" i="5" s="1"/>
  <c r="E97" i="5"/>
  <c r="F97" i="5" s="1"/>
  <c r="H97" i="5" s="1"/>
  <c r="E96" i="5"/>
  <c r="F96" i="5" s="1"/>
  <c r="H96" i="5" s="1"/>
  <c r="E95" i="5"/>
  <c r="F95" i="5" s="1"/>
  <c r="H95" i="5" s="1"/>
  <c r="E94" i="5"/>
  <c r="F94" i="5" s="1"/>
  <c r="H94" i="5" s="1"/>
  <c r="E92" i="5"/>
  <c r="F92" i="5" s="1"/>
  <c r="H92" i="5" s="1"/>
  <c r="E91" i="5"/>
  <c r="F91" i="5" s="1"/>
  <c r="H91" i="5" s="1"/>
  <c r="E90" i="5"/>
  <c r="F90" i="5" s="1"/>
  <c r="H90" i="5" s="1"/>
  <c r="E89" i="5"/>
  <c r="F89" i="5" s="1"/>
  <c r="H89" i="5" s="1"/>
  <c r="E88" i="5"/>
  <c r="F88" i="5" s="1"/>
  <c r="H88" i="5" s="1"/>
  <c r="E87" i="5"/>
  <c r="F87" i="5" s="1"/>
  <c r="H87" i="5" s="1"/>
  <c r="E86" i="5"/>
  <c r="F86" i="5" s="1"/>
  <c r="H86" i="5" s="1"/>
  <c r="E84" i="5"/>
  <c r="F84" i="5" s="1"/>
  <c r="H84" i="5" s="1"/>
  <c r="E83" i="5"/>
  <c r="F83" i="5" s="1"/>
  <c r="H83" i="5" s="1"/>
  <c r="E82" i="5"/>
  <c r="F82" i="5" s="1"/>
  <c r="H82" i="5" s="1"/>
  <c r="E81" i="5"/>
  <c r="F81" i="5" s="1"/>
  <c r="H81" i="5" s="1"/>
  <c r="E80" i="5"/>
  <c r="F80" i="5" s="1"/>
  <c r="H80" i="5" s="1"/>
  <c r="E79" i="5"/>
  <c r="F79" i="5" s="1"/>
  <c r="H79" i="5" s="1"/>
  <c r="E77" i="5"/>
  <c r="F77" i="5" s="1"/>
  <c r="H77" i="5" s="1"/>
  <c r="E76" i="5"/>
  <c r="F76" i="5" s="1"/>
  <c r="H76" i="5" s="1"/>
  <c r="E75" i="5"/>
  <c r="F75" i="5" s="1"/>
  <c r="H75" i="5" s="1"/>
  <c r="E73" i="5"/>
  <c r="F73" i="5" s="1"/>
  <c r="H73" i="5" s="1"/>
  <c r="E72" i="5"/>
  <c r="F72" i="5" s="1"/>
  <c r="H72" i="5" s="1"/>
  <c r="E71" i="5"/>
  <c r="F71" i="5" s="1"/>
  <c r="H71" i="5" s="1"/>
  <c r="E69" i="5"/>
  <c r="F69" i="5" s="1"/>
  <c r="H69" i="5" s="1"/>
  <c r="E68" i="5"/>
  <c r="F68" i="5" s="1"/>
  <c r="H68" i="5" s="1"/>
  <c r="E67" i="5"/>
  <c r="F67" i="5" s="1"/>
  <c r="H67" i="5" s="1"/>
  <c r="E65" i="5"/>
  <c r="F65" i="5" s="1"/>
  <c r="H65" i="5" s="1"/>
  <c r="E64" i="5"/>
  <c r="F64" i="5" s="1"/>
  <c r="H64" i="5" s="1"/>
  <c r="E62" i="5"/>
  <c r="F62" i="5" s="1"/>
  <c r="H62" i="5" s="1"/>
  <c r="E61" i="5"/>
  <c r="F61" i="5" s="1"/>
  <c r="H61" i="5" s="1"/>
  <c r="E60" i="5"/>
  <c r="F60" i="5" s="1"/>
  <c r="H60" i="5" s="1"/>
  <c r="E57" i="5"/>
  <c r="F57" i="5" s="1"/>
  <c r="H57" i="5" s="1"/>
  <c r="F56" i="5"/>
  <c r="H56" i="5" s="1"/>
  <c r="E56" i="5"/>
  <c r="E55" i="5"/>
  <c r="F55" i="5" s="1"/>
  <c r="H55" i="5" s="1"/>
  <c r="E54" i="5"/>
  <c r="F54" i="5" s="1"/>
  <c r="H54" i="5" s="1"/>
  <c r="E52" i="5"/>
  <c r="F52" i="5" s="1"/>
  <c r="H52" i="5" s="1"/>
  <c r="E50" i="5"/>
  <c r="F50" i="5" s="1"/>
  <c r="H50" i="5" s="1"/>
  <c r="E49" i="5"/>
  <c r="F49" i="5" s="1"/>
  <c r="H49" i="5" s="1"/>
  <c r="E48" i="5"/>
  <c r="F48" i="5" s="1"/>
  <c r="H48" i="5" s="1"/>
  <c r="E47" i="5"/>
  <c r="F47" i="5" s="1"/>
  <c r="H47" i="5" s="1"/>
  <c r="E46" i="5"/>
  <c r="F46" i="5" s="1"/>
  <c r="H46" i="5" s="1"/>
  <c r="E44" i="5"/>
  <c r="F44" i="5" s="1"/>
  <c r="H44" i="5" s="1"/>
  <c r="E42" i="5"/>
  <c r="F42" i="5" s="1"/>
  <c r="H42" i="5" s="1"/>
  <c r="E41" i="5"/>
  <c r="F41" i="5" s="1"/>
  <c r="H41" i="5" s="1"/>
  <c r="E40" i="5"/>
  <c r="F40" i="5" s="1"/>
  <c r="H40" i="5" s="1"/>
  <c r="E39" i="5"/>
  <c r="F39" i="5" s="1"/>
  <c r="H39" i="5" s="1"/>
  <c r="E38" i="5"/>
  <c r="F38" i="5" s="1"/>
  <c r="H38" i="5" s="1"/>
  <c r="E36" i="5"/>
  <c r="F36" i="5" s="1"/>
  <c r="H36" i="5" s="1"/>
  <c r="E34" i="5"/>
  <c r="F34" i="5" s="1"/>
  <c r="H34" i="5" s="1"/>
  <c r="E33" i="5"/>
  <c r="F33" i="5" s="1"/>
  <c r="H33" i="5" s="1"/>
  <c r="E32" i="5"/>
  <c r="F32" i="5" s="1"/>
  <c r="H32" i="5" s="1"/>
  <c r="E31" i="5"/>
  <c r="F31" i="5" s="1"/>
  <c r="H31" i="5" s="1"/>
  <c r="E30" i="5"/>
  <c r="F30" i="5" s="1"/>
  <c r="H30" i="5" s="1"/>
  <c r="E28" i="5"/>
  <c r="F28" i="5" s="1"/>
  <c r="H28" i="5" s="1"/>
  <c r="E26" i="5"/>
  <c r="F26" i="5" s="1"/>
  <c r="H26" i="5" s="1"/>
  <c r="E25" i="5"/>
  <c r="F25" i="5" s="1"/>
  <c r="H25" i="5" s="1"/>
  <c r="E24" i="5"/>
  <c r="F24" i="5" s="1"/>
  <c r="H24" i="5" s="1"/>
  <c r="E23" i="5"/>
  <c r="F23" i="5" s="1"/>
  <c r="H23" i="5" s="1"/>
  <c r="E22" i="5"/>
  <c r="F22" i="5" s="1"/>
  <c r="H22" i="5" s="1"/>
  <c r="E20" i="5"/>
  <c r="F20" i="5" s="1"/>
  <c r="H20" i="5" s="1"/>
  <c r="E18" i="5"/>
  <c r="F18" i="5" s="1"/>
  <c r="H18" i="5" s="1"/>
  <c r="E17" i="5"/>
  <c r="F17" i="5" s="1"/>
  <c r="H17" i="5" s="1"/>
  <c r="E16" i="5"/>
  <c r="F16" i="5" s="1"/>
  <c r="H16" i="5" s="1"/>
  <c r="E15" i="5"/>
  <c r="F15" i="5" s="1"/>
  <c r="H15" i="5" s="1"/>
  <c r="E14" i="5"/>
  <c r="F14" i="5" s="1"/>
  <c r="H14" i="5" s="1"/>
  <c r="E12" i="5"/>
  <c r="F12" i="5" s="1"/>
  <c r="H12" i="5" s="1"/>
  <c r="E10" i="5"/>
  <c r="F10" i="5" s="1"/>
  <c r="H10" i="5" s="1"/>
  <c r="E9" i="5"/>
  <c r="F9" i="5" s="1"/>
  <c r="H9" i="5" s="1"/>
  <c r="E8" i="5"/>
  <c r="F8" i="5" s="1"/>
  <c r="H8" i="5" s="1"/>
  <c r="E7" i="5"/>
  <c r="F7" i="5" s="1"/>
  <c r="H7" i="5" s="1"/>
  <c r="E6" i="5"/>
  <c r="F6" i="5" s="1"/>
  <c r="H6" i="5" s="1"/>
  <c r="E5" i="5"/>
  <c r="F5" i="5" s="1"/>
  <c r="H5" i="5" s="1"/>
  <c r="E4" i="5"/>
  <c r="F4" i="5" s="1"/>
  <c r="H4" i="5" s="1"/>
  <c r="E3" i="5"/>
  <c r="F3" i="5" s="1"/>
  <c r="L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2" i="5"/>
  <c r="X4" i="4"/>
  <c r="X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2" i="4"/>
  <c r="V4" i="4"/>
  <c r="V2" i="4"/>
  <c r="Q2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2" i="4"/>
  <c r="I4" i="3"/>
  <c r="G4" i="3"/>
  <c r="L2" i="3"/>
  <c r="I2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" i="3"/>
  <c r="G2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" i="3"/>
  <c r="D9" i="3"/>
  <c r="D11" i="3"/>
  <c r="D17" i="3"/>
  <c r="D19" i="3"/>
  <c r="D25" i="3"/>
  <c r="D27" i="3"/>
  <c r="D33" i="3"/>
  <c r="D35" i="3"/>
  <c r="D41" i="3"/>
  <c r="D43" i="3"/>
  <c r="D49" i="3"/>
  <c r="D51" i="3"/>
  <c r="D57" i="3"/>
  <c r="D59" i="3"/>
  <c r="D65" i="3"/>
  <c r="D67" i="3"/>
  <c r="D73" i="3"/>
  <c r="D75" i="3"/>
  <c r="D81" i="3"/>
  <c r="D83" i="3"/>
  <c r="D89" i="3"/>
  <c r="D91" i="3"/>
  <c r="D97" i="3"/>
  <c r="D99" i="3"/>
  <c r="D105" i="3"/>
  <c r="D107" i="3"/>
  <c r="D109" i="3"/>
  <c r="D113" i="3"/>
  <c r="D115" i="3"/>
  <c r="D121" i="3"/>
  <c r="D123" i="3"/>
  <c r="D129" i="3"/>
  <c r="D131" i="3"/>
  <c r="D137" i="3"/>
  <c r="D139" i="3"/>
  <c r="D145" i="3"/>
  <c r="D147" i="3"/>
  <c r="D153" i="3"/>
  <c r="D155" i="3"/>
  <c r="D161" i="3"/>
  <c r="D163" i="3"/>
  <c r="D169" i="3"/>
  <c r="D171" i="3"/>
  <c r="D177" i="3"/>
  <c r="D179" i="3"/>
  <c r="D185" i="3"/>
  <c r="D187" i="3"/>
  <c r="D193" i="3"/>
  <c r="D195" i="3"/>
  <c r="D201" i="3"/>
  <c r="D203" i="3"/>
  <c r="D209" i="3"/>
  <c r="D211" i="3"/>
  <c r="D217" i="3"/>
  <c r="D219" i="3"/>
  <c r="D224" i="3"/>
  <c r="D225" i="3"/>
  <c r="D227" i="3"/>
  <c r="D232" i="3"/>
  <c r="D233" i="3"/>
  <c r="D235" i="3"/>
  <c r="D240" i="3"/>
  <c r="D241" i="3"/>
  <c r="D243" i="3"/>
  <c r="D248" i="3"/>
  <c r="D249" i="3"/>
  <c r="D251" i="3"/>
  <c r="D256" i="3"/>
  <c r="D257" i="3"/>
  <c r="D259" i="3"/>
  <c r="D264" i="3"/>
  <c r="D265" i="3"/>
  <c r="D267" i="3"/>
  <c r="D272" i="3"/>
  <c r="D273" i="3"/>
  <c r="D275" i="3"/>
  <c r="D280" i="3"/>
  <c r="D281" i="3"/>
  <c r="D283" i="3"/>
  <c r="D288" i="3"/>
  <c r="D289" i="3"/>
  <c r="D291" i="3"/>
  <c r="D296" i="3"/>
  <c r="D297" i="3"/>
  <c r="D299" i="3"/>
  <c r="D304" i="3"/>
  <c r="D305" i="3"/>
  <c r="D307" i="3"/>
  <c r="D312" i="3"/>
  <c r="D313" i="3"/>
  <c r="D315" i="3"/>
  <c r="D320" i="3"/>
  <c r="D321" i="3"/>
  <c r="D323" i="3"/>
  <c r="D328" i="3"/>
  <c r="D329" i="3"/>
  <c r="D331" i="3"/>
  <c r="D336" i="3"/>
  <c r="D337" i="3"/>
  <c r="D339" i="3"/>
  <c r="D344" i="3"/>
  <c r="D345" i="3"/>
  <c r="D347" i="3"/>
  <c r="D352" i="3"/>
  <c r="D353" i="3"/>
  <c r="D355" i="3"/>
  <c r="D360" i="3"/>
  <c r="D361" i="3"/>
  <c r="D363" i="3"/>
  <c r="D3" i="3"/>
  <c r="C3" i="3"/>
  <c r="D4" i="3" s="1"/>
  <c r="C4" i="3"/>
  <c r="D5" i="3" s="1"/>
  <c r="C5" i="3"/>
  <c r="D6" i="3" s="1"/>
  <c r="C6" i="3"/>
  <c r="D7" i="3" s="1"/>
  <c r="C7" i="3"/>
  <c r="D8" i="3" s="1"/>
  <c r="C8" i="3"/>
  <c r="C9" i="3"/>
  <c r="D10" i="3" s="1"/>
  <c r="C10" i="3"/>
  <c r="C11" i="3"/>
  <c r="D12" i="3" s="1"/>
  <c r="C12" i="3"/>
  <c r="D13" i="3" s="1"/>
  <c r="C13" i="3"/>
  <c r="D14" i="3" s="1"/>
  <c r="C14" i="3"/>
  <c r="D15" i="3" s="1"/>
  <c r="C15" i="3"/>
  <c r="D16" i="3" s="1"/>
  <c r="C16" i="3"/>
  <c r="C17" i="3"/>
  <c r="D18" i="3" s="1"/>
  <c r="C18" i="3"/>
  <c r="C19" i="3"/>
  <c r="D20" i="3" s="1"/>
  <c r="C20" i="3"/>
  <c r="D21" i="3" s="1"/>
  <c r="C21" i="3"/>
  <c r="D22" i="3" s="1"/>
  <c r="C22" i="3"/>
  <c r="D23" i="3" s="1"/>
  <c r="C23" i="3"/>
  <c r="D24" i="3" s="1"/>
  <c r="C24" i="3"/>
  <c r="C25" i="3"/>
  <c r="D26" i="3" s="1"/>
  <c r="C26" i="3"/>
  <c r="C27" i="3"/>
  <c r="D28" i="3" s="1"/>
  <c r="C28" i="3"/>
  <c r="D29" i="3" s="1"/>
  <c r="C29" i="3"/>
  <c r="D30" i="3" s="1"/>
  <c r="C30" i="3"/>
  <c r="D31" i="3" s="1"/>
  <c r="C31" i="3"/>
  <c r="D32" i="3" s="1"/>
  <c r="C32" i="3"/>
  <c r="C33" i="3"/>
  <c r="D34" i="3" s="1"/>
  <c r="C34" i="3"/>
  <c r="C35" i="3"/>
  <c r="D36" i="3" s="1"/>
  <c r="C36" i="3"/>
  <c r="D37" i="3" s="1"/>
  <c r="C37" i="3"/>
  <c r="D38" i="3" s="1"/>
  <c r="C38" i="3"/>
  <c r="D39" i="3" s="1"/>
  <c r="C39" i="3"/>
  <c r="D40" i="3" s="1"/>
  <c r="C40" i="3"/>
  <c r="C41" i="3"/>
  <c r="D42" i="3" s="1"/>
  <c r="C42" i="3"/>
  <c r="C43" i="3"/>
  <c r="D44" i="3" s="1"/>
  <c r="C44" i="3"/>
  <c r="D45" i="3" s="1"/>
  <c r="C45" i="3"/>
  <c r="D46" i="3" s="1"/>
  <c r="C46" i="3"/>
  <c r="D47" i="3" s="1"/>
  <c r="C47" i="3"/>
  <c r="D48" i="3" s="1"/>
  <c r="C48" i="3"/>
  <c r="C49" i="3"/>
  <c r="D50" i="3" s="1"/>
  <c r="C50" i="3"/>
  <c r="C51" i="3"/>
  <c r="D52" i="3" s="1"/>
  <c r="C52" i="3"/>
  <c r="D53" i="3" s="1"/>
  <c r="C53" i="3"/>
  <c r="D54" i="3" s="1"/>
  <c r="C54" i="3"/>
  <c r="D55" i="3" s="1"/>
  <c r="C55" i="3"/>
  <c r="D56" i="3" s="1"/>
  <c r="C56" i="3"/>
  <c r="C57" i="3"/>
  <c r="D58" i="3" s="1"/>
  <c r="C58" i="3"/>
  <c r="C59" i="3"/>
  <c r="D60" i="3" s="1"/>
  <c r="C60" i="3"/>
  <c r="D61" i="3" s="1"/>
  <c r="C61" i="3"/>
  <c r="D62" i="3" s="1"/>
  <c r="C62" i="3"/>
  <c r="D63" i="3" s="1"/>
  <c r="C63" i="3"/>
  <c r="D64" i="3" s="1"/>
  <c r="C64" i="3"/>
  <c r="C65" i="3"/>
  <c r="D66" i="3" s="1"/>
  <c r="C66" i="3"/>
  <c r="C67" i="3"/>
  <c r="D68" i="3" s="1"/>
  <c r="C68" i="3"/>
  <c r="D69" i="3" s="1"/>
  <c r="C69" i="3"/>
  <c r="D70" i="3" s="1"/>
  <c r="C70" i="3"/>
  <c r="D71" i="3" s="1"/>
  <c r="C71" i="3"/>
  <c r="D72" i="3" s="1"/>
  <c r="C72" i="3"/>
  <c r="C73" i="3"/>
  <c r="D74" i="3" s="1"/>
  <c r="C74" i="3"/>
  <c r="C75" i="3"/>
  <c r="D76" i="3" s="1"/>
  <c r="C76" i="3"/>
  <c r="D77" i="3" s="1"/>
  <c r="C77" i="3"/>
  <c r="D78" i="3" s="1"/>
  <c r="C78" i="3"/>
  <c r="D79" i="3" s="1"/>
  <c r="C79" i="3"/>
  <c r="D80" i="3" s="1"/>
  <c r="C80" i="3"/>
  <c r="C81" i="3"/>
  <c r="D82" i="3" s="1"/>
  <c r="C82" i="3"/>
  <c r="C83" i="3"/>
  <c r="D84" i="3" s="1"/>
  <c r="C84" i="3"/>
  <c r="D85" i="3" s="1"/>
  <c r="C85" i="3"/>
  <c r="D86" i="3" s="1"/>
  <c r="C86" i="3"/>
  <c r="D87" i="3" s="1"/>
  <c r="C87" i="3"/>
  <c r="D88" i="3" s="1"/>
  <c r="C88" i="3"/>
  <c r="C89" i="3"/>
  <c r="D90" i="3" s="1"/>
  <c r="C90" i="3"/>
  <c r="C91" i="3"/>
  <c r="D92" i="3" s="1"/>
  <c r="C92" i="3"/>
  <c r="D93" i="3" s="1"/>
  <c r="C93" i="3"/>
  <c r="D94" i="3" s="1"/>
  <c r="C94" i="3"/>
  <c r="D95" i="3" s="1"/>
  <c r="C95" i="3"/>
  <c r="D96" i="3" s="1"/>
  <c r="C96" i="3"/>
  <c r="C97" i="3"/>
  <c r="D98" i="3" s="1"/>
  <c r="C98" i="3"/>
  <c r="C99" i="3"/>
  <c r="D100" i="3" s="1"/>
  <c r="C100" i="3"/>
  <c r="D101" i="3" s="1"/>
  <c r="C101" i="3"/>
  <c r="D102" i="3" s="1"/>
  <c r="C102" i="3"/>
  <c r="D103" i="3" s="1"/>
  <c r="C103" i="3"/>
  <c r="D104" i="3" s="1"/>
  <c r="C104" i="3"/>
  <c r="C105" i="3"/>
  <c r="D106" i="3" s="1"/>
  <c r="C106" i="3"/>
  <c r="C107" i="3"/>
  <c r="D108" i="3" s="1"/>
  <c r="C108" i="3"/>
  <c r="C109" i="3"/>
  <c r="D110" i="3" s="1"/>
  <c r="C110" i="3"/>
  <c r="D111" i="3" s="1"/>
  <c r="C111" i="3"/>
  <c r="D112" i="3" s="1"/>
  <c r="C112" i="3"/>
  <c r="C113" i="3"/>
  <c r="D114" i="3" s="1"/>
  <c r="C114" i="3"/>
  <c r="C115" i="3"/>
  <c r="D116" i="3" s="1"/>
  <c r="C116" i="3"/>
  <c r="D117" i="3" s="1"/>
  <c r="C117" i="3"/>
  <c r="D118" i="3" s="1"/>
  <c r="C118" i="3"/>
  <c r="D119" i="3" s="1"/>
  <c r="C119" i="3"/>
  <c r="D120" i="3" s="1"/>
  <c r="C120" i="3"/>
  <c r="C121" i="3"/>
  <c r="D122" i="3" s="1"/>
  <c r="C122" i="3"/>
  <c r="C123" i="3"/>
  <c r="D124" i="3" s="1"/>
  <c r="C124" i="3"/>
  <c r="D125" i="3" s="1"/>
  <c r="C125" i="3"/>
  <c r="D126" i="3" s="1"/>
  <c r="C126" i="3"/>
  <c r="D127" i="3" s="1"/>
  <c r="C127" i="3"/>
  <c r="D128" i="3" s="1"/>
  <c r="C128" i="3"/>
  <c r="C129" i="3"/>
  <c r="D130" i="3" s="1"/>
  <c r="C130" i="3"/>
  <c r="C131" i="3"/>
  <c r="D132" i="3" s="1"/>
  <c r="C132" i="3"/>
  <c r="D133" i="3" s="1"/>
  <c r="C133" i="3"/>
  <c r="D134" i="3" s="1"/>
  <c r="C134" i="3"/>
  <c r="D135" i="3" s="1"/>
  <c r="C135" i="3"/>
  <c r="D136" i="3" s="1"/>
  <c r="C136" i="3"/>
  <c r="C137" i="3"/>
  <c r="D138" i="3" s="1"/>
  <c r="C138" i="3"/>
  <c r="C139" i="3"/>
  <c r="D140" i="3" s="1"/>
  <c r="C140" i="3"/>
  <c r="D141" i="3" s="1"/>
  <c r="C141" i="3"/>
  <c r="D142" i="3" s="1"/>
  <c r="C142" i="3"/>
  <c r="D143" i="3" s="1"/>
  <c r="C143" i="3"/>
  <c r="D144" i="3" s="1"/>
  <c r="C144" i="3"/>
  <c r="C145" i="3"/>
  <c r="D146" i="3" s="1"/>
  <c r="C146" i="3"/>
  <c r="C147" i="3"/>
  <c r="D148" i="3" s="1"/>
  <c r="C148" i="3"/>
  <c r="D149" i="3" s="1"/>
  <c r="C149" i="3"/>
  <c r="D150" i="3" s="1"/>
  <c r="C150" i="3"/>
  <c r="D151" i="3" s="1"/>
  <c r="C151" i="3"/>
  <c r="D152" i="3" s="1"/>
  <c r="C152" i="3"/>
  <c r="C153" i="3"/>
  <c r="D154" i="3" s="1"/>
  <c r="C154" i="3"/>
  <c r="C155" i="3"/>
  <c r="D156" i="3" s="1"/>
  <c r="C156" i="3"/>
  <c r="D157" i="3" s="1"/>
  <c r="C157" i="3"/>
  <c r="D158" i="3" s="1"/>
  <c r="C158" i="3"/>
  <c r="D159" i="3" s="1"/>
  <c r="C159" i="3"/>
  <c r="D160" i="3" s="1"/>
  <c r="C160" i="3"/>
  <c r="C161" i="3"/>
  <c r="D162" i="3" s="1"/>
  <c r="C162" i="3"/>
  <c r="C163" i="3"/>
  <c r="D164" i="3" s="1"/>
  <c r="C164" i="3"/>
  <c r="D165" i="3" s="1"/>
  <c r="C165" i="3"/>
  <c r="D166" i="3" s="1"/>
  <c r="C166" i="3"/>
  <c r="D167" i="3" s="1"/>
  <c r="C167" i="3"/>
  <c r="D168" i="3" s="1"/>
  <c r="C168" i="3"/>
  <c r="C169" i="3"/>
  <c r="D170" i="3" s="1"/>
  <c r="C170" i="3"/>
  <c r="C171" i="3"/>
  <c r="D172" i="3" s="1"/>
  <c r="C172" i="3"/>
  <c r="D173" i="3" s="1"/>
  <c r="C173" i="3"/>
  <c r="D174" i="3" s="1"/>
  <c r="C174" i="3"/>
  <c r="D175" i="3" s="1"/>
  <c r="C175" i="3"/>
  <c r="D176" i="3" s="1"/>
  <c r="C176" i="3"/>
  <c r="C177" i="3"/>
  <c r="D178" i="3" s="1"/>
  <c r="C178" i="3"/>
  <c r="C179" i="3"/>
  <c r="D180" i="3" s="1"/>
  <c r="C180" i="3"/>
  <c r="D181" i="3" s="1"/>
  <c r="C181" i="3"/>
  <c r="D182" i="3" s="1"/>
  <c r="C182" i="3"/>
  <c r="D183" i="3" s="1"/>
  <c r="C183" i="3"/>
  <c r="D184" i="3" s="1"/>
  <c r="C184" i="3"/>
  <c r="C185" i="3"/>
  <c r="D186" i="3" s="1"/>
  <c r="C186" i="3"/>
  <c r="C187" i="3"/>
  <c r="D188" i="3" s="1"/>
  <c r="C188" i="3"/>
  <c r="D189" i="3" s="1"/>
  <c r="C189" i="3"/>
  <c r="D190" i="3" s="1"/>
  <c r="C190" i="3"/>
  <c r="D191" i="3" s="1"/>
  <c r="C191" i="3"/>
  <c r="D192" i="3" s="1"/>
  <c r="C192" i="3"/>
  <c r="C193" i="3"/>
  <c r="D194" i="3" s="1"/>
  <c r="C194" i="3"/>
  <c r="C195" i="3"/>
  <c r="D196" i="3" s="1"/>
  <c r="C196" i="3"/>
  <c r="D197" i="3" s="1"/>
  <c r="C197" i="3"/>
  <c r="D198" i="3" s="1"/>
  <c r="C198" i="3"/>
  <c r="D199" i="3" s="1"/>
  <c r="C199" i="3"/>
  <c r="D200" i="3" s="1"/>
  <c r="C200" i="3"/>
  <c r="C201" i="3"/>
  <c r="D202" i="3" s="1"/>
  <c r="C202" i="3"/>
  <c r="C203" i="3"/>
  <c r="D204" i="3" s="1"/>
  <c r="C204" i="3"/>
  <c r="D205" i="3" s="1"/>
  <c r="C205" i="3"/>
  <c r="D206" i="3" s="1"/>
  <c r="C206" i="3"/>
  <c r="D207" i="3" s="1"/>
  <c r="C207" i="3"/>
  <c r="D208" i="3" s="1"/>
  <c r="C208" i="3"/>
  <c r="C209" i="3"/>
  <c r="D210" i="3" s="1"/>
  <c r="C210" i="3"/>
  <c r="C211" i="3"/>
  <c r="D212" i="3" s="1"/>
  <c r="C212" i="3"/>
  <c r="D213" i="3" s="1"/>
  <c r="C213" i="3"/>
  <c r="D214" i="3" s="1"/>
  <c r="C214" i="3"/>
  <c r="D215" i="3" s="1"/>
  <c r="C215" i="3"/>
  <c r="D216" i="3" s="1"/>
  <c r="C216" i="3"/>
  <c r="C217" i="3"/>
  <c r="D218" i="3" s="1"/>
  <c r="C218" i="3"/>
  <c r="C219" i="3"/>
  <c r="D220" i="3" s="1"/>
  <c r="C220" i="3"/>
  <c r="D221" i="3" s="1"/>
  <c r="C221" i="3"/>
  <c r="D222" i="3" s="1"/>
  <c r="C222" i="3"/>
  <c r="D223" i="3" s="1"/>
  <c r="C223" i="3"/>
  <c r="C224" i="3"/>
  <c r="C225" i="3"/>
  <c r="D226" i="3" s="1"/>
  <c r="C226" i="3"/>
  <c r="C227" i="3"/>
  <c r="D228" i="3" s="1"/>
  <c r="C228" i="3"/>
  <c r="D229" i="3" s="1"/>
  <c r="C229" i="3"/>
  <c r="D230" i="3" s="1"/>
  <c r="C230" i="3"/>
  <c r="D231" i="3" s="1"/>
  <c r="C231" i="3"/>
  <c r="C232" i="3"/>
  <c r="C233" i="3"/>
  <c r="D234" i="3" s="1"/>
  <c r="C234" i="3"/>
  <c r="C235" i="3"/>
  <c r="D236" i="3" s="1"/>
  <c r="C236" i="3"/>
  <c r="D237" i="3" s="1"/>
  <c r="C237" i="3"/>
  <c r="D238" i="3" s="1"/>
  <c r="C238" i="3"/>
  <c r="D239" i="3" s="1"/>
  <c r="C239" i="3"/>
  <c r="C240" i="3"/>
  <c r="C241" i="3"/>
  <c r="D242" i="3" s="1"/>
  <c r="C242" i="3"/>
  <c r="C243" i="3"/>
  <c r="D244" i="3" s="1"/>
  <c r="C244" i="3"/>
  <c r="D245" i="3" s="1"/>
  <c r="C245" i="3"/>
  <c r="D246" i="3" s="1"/>
  <c r="C246" i="3"/>
  <c r="D247" i="3" s="1"/>
  <c r="C247" i="3"/>
  <c r="C248" i="3"/>
  <c r="C249" i="3"/>
  <c r="D250" i="3" s="1"/>
  <c r="C250" i="3"/>
  <c r="C251" i="3"/>
  <c r="D252" i="3" s="1"/>
  <c r="C252" i="3"/>
  <c r="D253" i="3" s="1"/>
  <c r="C253" i="3"/>
  <c r="D254" i="3" s="1"/>
  <c r="C254" i="3"/>
  <c r="D255" i="3" s="1"/>
  <c r="C255" i="3"/>
  <c r="C256" i="3"/>
  <c r="C257" i="3"/>
  <c r="D258" i="3" s="1"/>
  <c r="C258" i="3"/>
  <c r="C259" i="3"/>
  <c r="D260" i="3" s="1"/>
  <c r="C260" i="3"/>
  <c r="D261" i="3" s="1"/>
  <c r="C261" i="3"/>
  <c r="D262" i="3" s="1"/>
  <c r="C262" i="3"/>
  <c r="D263" i="3" s="1"/>
  <c r="C263" i="3"/>
  <c r="C264" i="3"/>
  <c r="C265" i="3"/>
  <c r="D266" i="3" s="1"/>
  <c r="C266" i="3"/>
  <c r="C267" i="3"/>
  <c r="D268" i="3" s="1"/>
  <c r="C268" i="3"/>
  <c r="D269" i="3" s="1"/>
  <c r="C269" i="3"/>
  <c r="D270" i="3" s="1"/>
  <c r="C270" i="3"/>
  <c r="D271" i="3" s="1"/>
  <c r="C271" i="3"/>
  <c r="C272" i="3"/>
  <c r="C273" i="3"/>
  <c r="D274" i="3" s="1"/>
  <c r="C274" i="3"/>
  <c r="C275" i="3"/>
  <c r="D276" i="3" s="1"/>
  <c r="C276" i="3"/>
  <c r="D277" i="3" s="1"/>
  <c r="C277" i="3"/>
  <c r="D278" i="3" s="1"/>
  <c r="C278" i="3"/>
  <c r="D279" i="3" s="1"/>
  <c r="C279" i="3"/>
  <c r="C280" i="3"/>
  <c r="C281" i="3"/>
  <c r="D282" i="3" s="1"/>
  <c r="C282" i="3"/>
  <c r="C283" i="3"/>
  <c r="D284" i="3" s="1"/>
  <c r="C284" i="3"/>
  <c r="D285" i="3" s="1"/>
  <c r="C285" i="3"/>
  <c r="D286" i="3" s="1"/>
  <c r="C286" i="3"/>
  <c r="D287" i="3" s="1"/>
  <c r="C287" i="3"/>
  <c r="C288" i="3"/>
  <c r="C289" i="3"/>
  <c r="D290" i="3" s="1"/>
  <c r="C290" i="3"/>
  <c r="C291" i="3"/>
  <c r="D292" i="3" s="1"/>
  <c r="C292" i="3"/>
  <c r="D293" i="3" s="1"/>
  <c r="C293" i="3"/>
  <c r="D294" i="3" s="1"/>
  <c r="C294" i="3"/>
  <c r="D295" i="3" s="1"/>
  <c r="C295" i="3"/>
  <c r="C296" i="3"/>
  <c r="C297" i="3"/>
  <c r="D298" i="3" s="1"/>
  <c r="C298" i="3"/>
  <c r="C299" i="3"/>
  <c r="D300" i="3" s="1"/>
  <c r="C300" i="3"/>
  <c r="D301" i="3" s="1"/>
  <c r="C301" i="3"/>
  <c r="D302" i="3" s="1"/>
  <c r="C302" i="3"/>
  <c r="D303" i="3" s="1"/>
  <c r="C303" i="3"/>
  <c r="C304" i="3"/>
  <c r="C305" i="3"/>
  <c r="D306" i="3" s="1"/>
  <c r="C306" i="3"/>
  <c r="C307" i="3"/>
  <c r="D308" i="3" s="1"/>
  <c r="C308" i="3"/>
  <c r="D309" i="3" s="1"/>
  <c r="C309" i="3"/>
  <c r="D310" i="3" s="1"/>
  <c r="C310" i="3"/>
  <c r="D311" i="3" s="1"/>
  <c r="C311" i="3"/>
  <c r="C312" i="3"/>
  <c r="C313" i="3"/>
  <c r="D314" i="3" s="1"/>
  <c r="C314" i="3"/>
  <c r="C315" i="3"/>
  <c r="D316" i="3" s="1"/>
  <c r="C316" i="3"/>
  <c r="D317" i="3" s="1"/>
  <c r="C317" i="3"/>
  <c r="D318" i="3" s="1"/>
  <c r="C318" i="3"/>
  <c r="D319" i="3" s="1"/>
  <c r="C319" i="3"/>
  <c r="C320" i="3"/>
  <c r="C321" i="3"/>
  <c r="D322" i="3" s="1"/>
  <c r="C322" i="3"/>
  <c r="C323" i="3"/>
  <c r="D324" i="3" s="1"/>
  <c r="C324" i="3"/>
  <c r="D325" i="3" s="1"/>
  <c r="C325" i="3"/>
  <c r="D326" i="3" s="1"/>
  <c r="C326" i="3"/>
  <c r="D327" i="3" s="1"/>
  <c r="C327" i="3"/>
  <c r="C328" i="3"/>
  <c r="C329" i="3"/>
  <c r="D330" i="3" s="1"/>
  <c r="C330" i="3"/>
  <c r="C331" i="3"/>
  <c r="D332" i="3" s="1"/>
  <c r="C332" i="3"/>
  <c r="D333" i="3" s="1"/>
  <c r="C333" i="3"/>
  <c r="D334" i="3" s="1"/>
  <c r="C334" i="3"/>
  <c r="D335" i="3" s="1"/>
  <c r="C335" i="3"/>
  <c r="C336" i="3"/>
  <c r="C337" i="3"/>
  <c r="D338" i="3" s="1"/>
  <c r="C338" i="3"/>
  <c r="C339" i="3"/>
  <c r="D340" i="3" s="1"/>
  <c r="C340" i="3"/>
  <c r="D341" i="3" s="1"/>
  <c r="C341" i="3"/>
  <c r="D342" i="3" s="1"/>
  <c r="C342" i="3"/>
  <c r="D343" i="3" s="1"/>
  <c r="C343" i="3"/>
  <c r="C344" i="3"/>
  <c r="C345" i="3"/>
  <c r="D346" i="3" s="1"/>
  <c r="C346" i="3"/>
  <c r="C347" i="3"/>
  <c r="D348" i="3" s="1"/>
  <c r="C348" i="3"/>
  <c r="D349" i="3" s="1"/>
  <c r="C349" i="3"/>
  <c r="D350" i="3" s="1"/>
  <c r="C350" i="3"/>
  <c r="D351" i="3" s="1"/>
  <c r="C351" i="3"/>
  <c r="C352" i="3"/>
  <c r="C353" i="3"/>
  <c r="D354" i="3" s="1"/>
  <c r="C354" i="3"/>
  <c r="C355" i="3"/>
  <c r="D356" i="3" s="1"/>
  <c r="C356" i="3"/>
  <c r="D357" i="3" s="1"/>
  <c r="C357" i="3"/>
  <c r="D358" i="3" s="1"/>
  <c r="C358" i="3"/>
  <c r="D359" i="3" s="1"/>
  <c r="C359" i="3"/>
  <c r="C360" i="3"/>
  <c r="C361" i="3"/>
  <c r="D362" i="3" s="1"/>
  <c r="C362" i="3"/>
  <c r="C363" i="3"/>
  <c r="D364" i="3" s="1"/>
  <c r="C364" i="3"/>
  <c r="D365" i="3" s="1"/>
  <c r="C365" i="3"/>
  <c r="D366" i="3" s="1"/>
  <c r="C366" i="3"/>
  <c r="C2" i="3"/>
  <c r="K4" i="2"/>
  <c r="J4" i="2"/>
  <c r="K2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7" i="2"/>
  <c r="J2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7" i="2"/>
  <c r="B7" i="4"/>
  <c r="B8" i="4" s="1"/>
  <c r="B9" i="4" s="1"/>
  <c r="B10" i="4" s="1"/>
  <c r="C1" i="4"/>
  <c r="C6" i="4" s="1"/>
  <c r="A2" i="4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6" i="2"/>
  <c r="H3" i="5" l="1"/>
  <c r="I2" i="5" s="1"/>
  <c r="I4" i="5" s="1"/>
  <c r="G2" i="5"/>
  <c r="G4" i="5" s="1"/>
  <c r="D6" i="4"/>
  <c r="B11" i="4"/>
  <c r="C10" i="4"/>
  <c r="D10" i="4" s="1"/>
  <c r="F6" i="4"/>
  <c r="E6" i="4"/>
  <c r="C8" i="4"/>
  <c r="D8" i="4" s="1"/>
  <c r="C7" i="4"/>
  <c r="D7" i="4" s="1"/>
  <c r="C9" i="4"/>
  <c r="D9" i="4" s="1"/>
  <c r="F10" i="4" l="1"/>
  <c r="E10" i="4"/>
  <c r="E7" i="4"/>
  <c r="F7" i="4"/>
  <c r="F8" i="4"/>
  <c r="E8" i="4"/>
  <c r="B12" i="4"/>
  <c r="C11" i="4"/>
  <c r="D11" i="4" s="1"/>
  <c r="F9" i="4"/>
  <c r="E9" i="4"/>
  <c r="G9" i="4" l="1"/>
  <c r="H9" i="4" s="1"/>
  <c r="G10" i="4"/>
  <c r="H10" i="4" s="1"/>
  <c r="G11" i="4"/>
  <c r="H11" i="4"/>
  <c r="C12" i="4"/>
  <c r="D12" i="4" s="1"/>
  <c r="B13" i="4"/>
  <c r="F11" i="4"/>
  <c r="G12" i="4" s="1"/>
  <c r="E11" i="4"/>
  <c r="C7" i="2"/>
  <c r="D7" i="2" s="1"/>
  <c r="E7" i="2" s="1"/>
  <c r="C8" i="2"/>
  <c r="C9" i="2"/>
  <c r="C10" i="2"/>
  <c r="D10" i="2" s="1"/>
  <c r="E10" i="2" s="1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6" i="2"/>
  <c r="A2" i="2"/>
  <c r="C1" i="2"/>
  <c r="B8" i="2"/>
  <c r="B9" i="2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B338" i="2" s="1"/>
  <c r="B339" i="2" s="1"/>
  <c r="B340" i="2" s="1"/>
  <c r="B341" i="2" s="1"/>
  <c r="B342" i="2" s="1"/>
  <c r="B343" i="2" s="1"/>
  <c r="B344" i="2" s="1"/>
  <c r="B345" i="2" s="1"/>
  <c r="B346" i="2" s="1"/>
  <c r="B347" i="2" s="1"/>
  <c r="B348" i="2" s="1"/>
  <c r="B349" i="2" s="1"/>
  <c r="B350" i="2" s="1"/>
  <c r="B351" i="2" s="1"/>
  <c r="B352" i="2" s="1"/>
  <c r="B353" i="2" s="1"/>
  <c r="B354" i="2" s="1"/>
  <c r="B355" i="2" s="1"/>
  <c r="B356" i="2" s="1"/>
  <c r="B357" i="2" s="1"/>
  <c r="B358" i="2" s="1"/>
  <c r="B359" i="2" s="1"/>
  <c r="B360" i="2" s="1"/>
  <c r="B361" i="2" s="1"/>
  <c r="B362" i="2" s="1"/>
  <c r="B363" i="2" s="1"/>
  <c r="B364" i="2" s="1"/>
  <c r="B365" i="2" s="1"/>
  <c r="B366" i="2" s="1"/>
  <c r="B367" i="2" s="1"/>
  <c r="B368" i="2" s="1"/>
  <c r="B369" i="2" s="1"/>
  <c r="B370" i="2" s="1"/>
  <c r="B7" i="2"/>
  <c r="H12" i="4" l="1"/>
  <c r="B14" i="4"/>
  <c r="C13" i="4"/>
  <c r="D13" i="4" s="1"/>
  <c r="F12" i="4"/>
  <c r="G13" i="4" s="1"/>
  <c r="E12" i="4"/>
  <c r="D6" i="2"/>
  <c r="E6" i="2" s="1"/>
  <c r="D9" i="2"/>
  <c r="E9" i="2" s="1"/>
  <c r="D14" i="2"/>
  <c r="E14" i="2" s="1"/>
  <c r="D8" i="2"/>
  <c r="E8" i="2" s="1"/>
  <c r="D12" i="2"/>
  <c r="E12" i="2" s="1"/>
  <c r="D16" i="2"/>
  <c r="E16" i="2" s="1"/>
  <c r="D13" i="2"/>
  <c r="E13" i="2" s="1"/>
  <c r="D11" i="2"/>
  <c r="E11" i="2" s="1"/>
  <c r="H13" i="4" l="1"/>
  <c r="E13" i="4"/>
  <c r="F13" i="4"/>
  <c r="G14" i="4" s="1"/>
  <c r="B15" i="4"/>
  <c r="C14" i="4"/>
  <c r="D14" i="4" s="1"/>
  <c r="H14" i="4" s="1"/>
  <c r="D19" i="2"/>
  <c r="E19" i="2" s="1"/>
  <c r="D24" i="2"/>
  <c r="E24" i="2" s="1"/>
  <c r="D15" i="2"/>
  <c r="E15" i="2" s="1"/>
  <c r="D18" i="2"/>
  <c r="E18" i="2" s="1"/>
  <c r="D29" i="2"/>
  <c r="E29" i="2" s="1"/>
  <c r="D21" i="2"/>
  <c r="E21" i="2" s="1"/>
  <c r="D17" i="2"/>
  <c r="E17" i="2" s="1"/>
  <c r="E14" i="4" l="1"/>
  <c r="F14" i="4"/>
  <c r="G15" i="4" s="1"/>
  <c r="B16" i="4"/>
  <c r="C15" i="4"/>
  <c r="D15" i="4" s="1"/>
  <c r="H15" i="4" s="1"/>
  <c r="D20" i="2"/>
  <c r="E20" i="2" s="1"/>
  <c r="D26" i="2"/>
  <c r="E26" i="2" s="1"/>
  <c r="D34" i="2"/>
  <c r="E34" i="2" s="1"/>
  <c r="D22" i="2"/>
  <c r="E22" i="2" s="1"/>
  <c r="D23" i="2"/>
  <c r="E23" i="2" s="1"/>
  <c r="F15" i="4" l="1"/>
  <c r="G16" i="4" s="1"/>
  <c r="E15" i="4"/>
  <c r="B17" i="4"/>
  <c r="C16" i="4"/>
  <c r="D16" i="4" s="1"/>
  <c r="H16" i="4" s="1"/>
  <c r="D25" i="2"/>
  <c r="E25" i="2" s="1"/>
  <c r="D27" i="2"/>
  <c r="E27" i="2" s="1"/>
  <c r="D28" i="2"/>
  <c r="E28" i="2" s="1"/>
  <c r="D39" i="2"/>
  <c r="E39" i="2" s="1"/>
  <c r="D31" i="2"/>
  <c r="E31" i="2" s="1"/>
  <c r="B18" i="4" l="1"/>
  <c r="C17" i="4"/>
  <c r="D17" i="4" s="1"/>
  <c r="F16" i="4"/>
  <c r="G17" i="4" s="1"/>
  <c r="E16" i="4"/>
  <c r="D30" i="2"/>
  <c r="E30" i="2" s="1"/>
  <c r="D32" i="2"/>
  <c r="E32" i="2" s="1"/>
  <c r="D44" i="2"/>
  <c r="E44" i="2" s="1"/>
  <c r="D33" i="2"/>
  <c r="E33" i="2" s="1"/>
  <c r="D36" i="2"/>
  <c r="E36" i="2" s="1"/>
  <c r="H17" i="4" l="1"/>
  <c r="F17" i="4"/>
  <c r="G18" i="4" s="1"/>
  <c r="E17" i="4"/>
  <c r="B19" i="4"/>
  <c r="C18" i="4"/>
  <c r="D18" i="4" s="1"/>
  <c r="H18" i="4" s="1"/>
  <c r="D35" i="2"/>
  <c r="E35" i="2" s="1"/>
  <c r="D49" i="2"/>
  <c r="E49" i="2" s="1"/>
  <c r="D37" i="2"/>
  <c r="E37" i="2" s="1"/>
  <c r="D38" i="2"/>
  <c r="E38" i="2" s="1"/>
  <c r="D41" i="2"/>
  <c r="E41" i="2" s="1"/>
  <c r="F18" i="4" l="1"/>
  <c r="G19" i="4" s="1"/>
  <c r="E18" i="4"/>
  <c r="B20" i="4"/>
  <c r="C19" i="4"/>
  <c r="D19" i="4" s="1"/>
  <c r="H19" i="4" s="1"/>
  <c r="D40" i="2"/>
  <c r="E40" i="2" s="1"/>
  <c r="D46" i="2"/>
  <c r="E46" i="2" s="1"/>
  <c r="D42" i="2"/>
  <c r="E42" i="2" s="1"/>
  <c r="D54" i="2"/>
  <c r="E54" i="2" s="1"/>
  <c r="D43" i="2"/>
  <c r="E43" i="2" s="1"/>
  <c r="F19" i="4" l="1"/>
  <c r="G20" i="4" s="1"/>
  <c r="E19" i="4"/>
  <c r="B21" i="4"/>
  <c r="C20" i="4"/>
  <c r="D20" i="4" s="1"/>
  <c r="H20" i="4" s="1"/>
  <c r="D45" i="2"/>
  <c r="E45" i="2" s="1"/>
  <c r="D51" i="2"/>
  <c r="E51" i="2" s="1"/>
  <c r="D59" i="2"/>
  <c r="E59" i="2" s="1"/>
  <c r="D47" i="2"/>
  <c r="E47" i="2" s="1"/>
  <c r="D48" i="2"/>
  <c r="E48" i="2" s="1"/>
  <c r="F20" i="4" l="1"/>
  <c r="G21" i="4" s="1"/>
  <c r="E20" i="4"/>
  <c r="B22" i="4"/>
  <c r="C21" i="4"/>
  <c r="D21" i="4" s="1"/>
  <c r="H21" i="4" s="1"/>
  <c r="D50" i="2"/>
  <c r="E50" i="2" s="1"/>
  <c r="D56" i="2"/>
  <c r="E56" i="2" s="1"/>
  <c r="D64" i="2"/>
  <c r="E64" i="2" s="1"/>
  <c r="D53" i="2"/>
  <c r="E53" i="2" s="1"/>
  <c r="D52" i="2"/>
  <c r="E52" i="2" s="1"/>
  <c r="E21" i="4" l="1"/>
  <c r="F21" i="4"/>
  <c r="G22" i="4" s="1"/>
  <c r="B23" i="4"/>
  <c r="C22" i="4"/>
  <c r="D22" i="4" s="1"/>
  <c r="H22" i="4" s="1"/>
  <c r="D55" i="2"/>
  <c r="E55" i="2" s="1"/>
  <c r="D61" i="2"/>
  <c r="E61" i="2" s="1"/>
  <c r="D58" i="2"/>
  <c r="E58" i="2" s="1"/>
  <c r="D69" i="2"/>
  <c r="E69" i="2" s="1"/>
  <c r="D57" i="2"/>
  <c r="E57" i="2" s="1"/>
  <c r="F22" i="4" l="1"/>
  <c r="G23" i="4" s="1"/>
  <c r="E22" i="4"/>
  <c r="B24" i="4"/>
  <c r="C23" i="4"/>
  <c r="D23" i="4" s="1"/>
  <c r="H23" i="4" s="1"/>
  <c r="D60" i="2"/>
  <c r="E60" i="2" s="1"/>
  <c r="D62" i="2"/>
  <c r="E62" i="2" s="1"/>
  <c r="D66" i="2"/>
  <c r="E66" i="2" s="1"/>
  <c r="D74" i="2"/>
  <c r="E74" i="2" s="1"/>
  <c r="D63" i="2"/>
  <c r="E63" i="2" s="1"/>
  <c r="F23" i="4" l="1"/>
  <c r="G24" i="4" s="1"/>
  <c r="E23" i="4"/>
  <c r="B25" i="4"/>
  <c r="C24" i="4"/>
  <c r="D24" i="4" s="1"/>
  <c r="H24" i="4" s="1"/>
  <c r="D65" i="2"/>
  <c r="E65" i="2" s="1"/>
  <c r="D71" i="2"/>
  <c r="E71" i="2" s="1"/>
  <c r="D67" i="2"/>
  <c r="E67" i="2" s="1"/>
  <c r="D79" i="2"/>
  <c r="E79" i="2" s="1"/>
  <c r="D68" i="2"/>
  <c r="E68" i="2" s="1"/>
  <c r="B26" i="4" l="1"/>
  <c r="C25" i="4"/>
  <c r="D25" i="4" s="1"/>
  <c r="F24" i="4"/>
  <c r="G25" i="4" s="1"/>
  <c r="E24" i="4"/>
  <c r="D70" i="2"/>
  <c r="E70" i="2" s="1"/>
  <c r="D73" i="2"/>
  <c r="E73" i="2" s="1"/>
  <c r="D84" i="2"/>
  <c r="E84" i="2" s="1"/>
  <c r="D72" i="2"/>
  <c r="E72" i="2" s="1"/>
  <c r="D76" i="2"/>
  <c r="E76" i="2" s="1"/>
  <c r="H25" i="4" l="1"/>
  <c r="B27" i="4"/>
  <c r="C26" i="4"/>
  <c r="D26" i="4" s="1"/>
  <c r="E25" i="4"/>
  <c r="F25" i="4"/>
  <c r="G26" i="4" s="1"/>
  <c r="D75" i="2"/>
  <c r="E75" i="2" s="1"/>
  <c r="D81" i="2"/>
  <c r="E81" i="2" s="1"/>
  <c r="D78" i="2"/>
  <c r="E78" i="2" s="1"/>
  <c r="D77" i="2"/>
  <c r="E77" i="2" s="1"/>
  <c r="D89" i="2"/>
  <c r="E89" i="2" s="1"/>
  <c r="H26" i="4" l="1"/>
  <c r="F26" i="4"/>
  <c r="G27" i="4" s="1"/>
  <c r="E26" i="4"/>
  <c r="B28" i="4"/>
  <c r="C27" i="4"/>
  <c r="D27" i="4" s="1"/>
  <c r="H27" i="4" s="1"/>
  <c r="D80" i="2"/>
  <c r="E80" i="2" s="1"/>
  <c r="D86" i="2"/>
  <c r="E86" i="2" s="1"/>
  <c r="D94" i="2"/>
  <c r="E94" i="2" s="1"/>
  <c r="D82" i="2"/>
  <c r="E82" i="2" s="1"/>
  <c r="D83" i="2"/>
  <c r="E83" i="2" s="1"/>
  <c r="E27" i="4" l="1"/>
  <c r="F27" i="4"/>
  <c r="G28" i="4" s="1"/>
  <c r="B29" i="4"/>
  <c r="C28" i="4"/>
  <c r="D28" i="4" s="1"/>
  <c r="H28" i="4" s="1"/>
  <c r="D85" i="2"/>
  <c r="E85" i="2" s="1"/>
  <c r="D88" i="2"/>
  <c r="E88" i="2" s="1"/>
  <c r="D87" i="2"/>
  <c r="E87" i="2" s="1"/>
  <c r="D99" i="2"/>
  <c r="E99" i="2" s="1"/>
  <c r="D91" i="2"/>
  <c r="E91" i="2" s="1"/>
  <c r="F28" i="4" l="1"/>
  <c r="G29" i="4" s="1"/>
  <c r="E28" i="4"/>
  <c r="B30" i="4"/>
  <c r="C29" i="4"/>
  <c r="D29" i="4" s="1"/>
  <c r="D90" i="2"/>
  <c r="E90" i="2" s="1"/>
  <c r="D104" i="2"/>
  <c r="E104" i="2" s="1"/>
  <c r="D96" i="2"/>
  <c r="E96" i="2" s="1"/>
  <c r="D92" i="2"/>
  <c r="E92" i="2" s="1"/>
  <c r="D93" i="2"/>
  <c r="E93" i="2" s="1"/>
  <c r="H29" i="4" l="1"/>
  <c r="E29" i="4"/>
  <c r="F29" i="4"/>
  <c r="G30" i="4" s="1"/>
  <c r="B31" i="4"/>
  <c r="C30" i="4"/>
  <c r="D30" i="4" s="1"/>
  <c r="H30" i="4" s="1"/>
  <c r="D95" i="2"/>
  <c r="E95" i="2" s="1"/>
  <c r="D98" i="2"/>
  <c r="E98" i="2" s="1"/>
  <c r="D109" i="2"/>
  <c r="E109" i="2" s="1"/>
  <c r="D97" i="2"/>
  <c r="E97" i="2" s="1"/>
  <c r="D101" i="2"/>
  <c r="E101" i="2" s="1"/>
  <c r="F30" i="4" l="1"/>
  <c r="G31" i="4" s="1"/>
  <c r="E30" i="4"/>
  <c r="B32" i="4"/>
  <c r="C31" i="4"/>
  <c r="D31" i="4" s="1"/>
  <c r="H31" i="4" s="1"/>
  <c r="D100" i="2"/>
  <c r="E100" i="2" s="1"/>
  <c r="D106" i="2"/>
  <c r="E106" i="2" s="1"/>
  <c r="D102" i="2"/>
  <c r="E102" i="2" s="1"/>
  <c r="D114" i="2"/>
  <c r="E114" i="2" s="1"/>
  <c r="D103" i="2"/>
  <c r="E103" i="2" s="1"/>
  <c r="E31" i="4" l="1"/>
  <c r="F31" i="4"/>
  <c r="G32" i="4" s="1"/>
  <c r="B33" i="4"/>
  <c r="C32" i="4"/>
  <c r="D32" i="4" s="1"/>
  <c r="H32" i="4" s="1"/>
  <c r="D105" i="2"/>
  <c r="E105" i="2" s="1"/>
  <c r="D107" i="2"/>
  <c r="E107" i="2" s="1"/>
  <c r="D119" i="2"/>
  <c r="E119" i="2" s="1"/>
  <c r="D111" i="2"/>
  <c r="E111" i="2" s="1"/>
  <c r="D108" i="2"/>
  <c r="E108" i="2" s="1"/>
  <c r="B34" i="4" l="1"/>
  <c r="C33" i="4"/>
  <c r="D33" i="4" s="1"/>
  <c r="H33" i="4" s="1"/>
  <c r="F32" i="4"/>
  <c r="G33" i="4" s="1"/>
  <c r="E32" i="4"/>
  <c r="D110" i="2"/>
  <c r="E110" i="2" s="1"/>
  <c r="D116" i="2"/>
  <c r="E116" i="2" s="1"/>
  <c r="D124" i="2"/>
  <c r="E124" i="2" s="1"/>
  <c r="D113" i="2"/>
  <c r="E113" i="2" s="1"/>
  <c r="D112" i="2"/>
  <c r="E112" i="2" s="1"/>
  <c r="F33" i="4" l="1"/>
  <c r="G34" i="4" s="1"/>
  <c r="E33" i="4"/>
  <c r="B35" i="4"/>
  <c r="C34" i="4"/>
  <c r="D34" i="4" s="1"/>
  <c r="H34" i="4" s="1"/>
  <c r="D115" i="2"/>
  <c r="E115" i="2" s="1"/>
  <c r="D129" i="2"/>
  <c r="E129" i="2" s="1"/>
  <c r="D118" i="2"/>
  <c r="E118" i="2" s="1"/>
  <c r="D117" i="2"/>
  <c r="E117" i="2" s="1"/>
  <c r="D121" i="2"/>
  <c r="E121" i="2" s="1"/>
  <c r="F34" i="4" l="1"/>
  <c r="G35" i="4" s="1"/>
  <c r="E34" i="4"/>
  <c r="B36" i="4"/>
  <c r="C35" i="4"/>
  <c r="D35" i="4" s="1"/>
  <c r="H35" i="4" s="1"/>
  <c r="D120" i="2"/>
  <c r="E120" i="2" s="1"/>
  <c r="D122" i="2"/>
  <c r="E122" i="2" s="1"/>
  <c r="D123" i="2"/>
  <c r="E123" i="2" s="1"/>
  <c r="D126" i="2"/>
  <c r="E126" i="2" s="1"/>
  <c r="D134" i="2"/>
  <c r="E134" i="2" s="1"/>
  <c r="F35" i="4" l="1"/>
  <c r="G36" i="4" s="1"/>
  <c r="E35" i="4"/>
  <c r="B37" i="4"/>
  <c r="C36" i="4"/>
  <c r="D36" i="4" s="1"/>
  <c r="H36" i="4" s="1"/>
  <c r="D125" i="2"/>
  <c r="E125" i="2" s="1"/>
  <c r="D131" i="2"/>
  <c r="E131" i="2" s="1"/>
  <c r="D128" i="2"/>
  <c r="E128" i="2" s="1"/>
  <c r="D139" i="2"/>
  <c r="E139" i="2" s="1"/>
  <c r="D127" i="2"/>
  <c r="E127" i="2" s="1"/>
  <c r="E36" i="4" l="1"/>
  <c r="F36" i="4"/>
  <c r="G37" i="4" s="1"/>
  <c r="B38" i="4"/>
  <c r="C37" i="4"/>
  <c r="D37" i="4" s="1"/>
  <c r="H37" i="4" s="1"/>
  <c r="D130" i="2"/>
  <c r="E130" i="2" s="1"/>
  <c r="D144" i="2"/>
  <c r="E144" i="2" s="1"/>
  <c r="D133" i="2"/>
  <c r="E133" i="2" s="1"/>
  <c r="D132" i="2"/>
  <c r="E132" i="2" s="1"/>
  <c r="D136" i="2"/>
  <c r="E136" i="2" s="1"/>
  <c r="E37" i="4" l="1"/>
  <c r="F37" i="4"/>
  <c r="G38" i="4" s="1"/>
  <c r="B39" i="4"/>
  <c r="C38" i="4"/>
  <c r="D38" i="4" s="1"/>
  <c r="H38" i="4" s="1"/>
  <c r="D135" i="2"/>
  <c r="E135" i="2" s="1"/>
  <c r="D138" i="2"/>
  <c r="E138" i="2" s="1"/>
  <c r="D137" i="2"/>
  <c r="E137" i="2" s="1"/>
  <c r="D141" i="2"/>
  <c r="E141" i="2" s="1"/>
  <c r="D149" i="2"/>
  <c r="E149" i="2" s="1"/>
  <c r="F38" i="4" l="1"/>
  <c r="G39" i="4" s="1"/>
  <c r="E38" i="4"/>
  <c r="B40" i="4"/>
  <c r="C39" i="4"/>
  <c r="D39" i="4" s="1"/>
  <c r="H39" i="4" s="1"/>
  <c r="D140" i="2"/>
  <c r="E140" i="2" s="1"/>
  <c r="D146" i="2"/>
  <c r="E146" i="2" s="1"/>
  <c r="D142" i="2"/>
  <c r="E142" i="2" s="1"/>
  <c r="D143" i="2"/>
  <c r="E143" i="2" s="1"/>
  <c r="D154" i="2"/>
  <c r="E154" i="2" s="1"/>
  <c r="E39" i="4" l="1"/>
  <c r="F39" i="4"/>
  <c r="G40" i="4" s="1"/>
  <c r="B41" i="4"/>
  <c r="C40" i="4"/>
  <c r="D40" i="4" s="1"/>
  <c r="H40" i="4" s="1"/>
  <c r="D145" i="2"/>
  <c r="E145" i="2" s="1"/>
  <c r="D148" i="2"/>
  <c r="E148" i="2" s="1"/>
  <c r="D147" i="2"/>
  <c r="E147" i="2" s="1"/>
  <c r="D151" i="2"/>
  <c r="E151" i="2" s="1"/>
  <c r="D159" i="2"/>
  <c r="E159" i="2" s="1"/>
  <c r="F40" i="4" l="1"/>
  <c r="G41" i="4" s="1"/>
  <c r="E40" i="4"/>
  <c r="B42" i="4"/>
  <c r="C41" i="4"/>
  <c r="D41" i="4" s="1"/>
  <c r="H41" i="4" s="1"/>
  <c r="D150" i="2"/>
  <c r="E150" i="2" s="1"/>
  <c r="D156" i="2"/>
  <c r="E156" i="2" s="1"/>
  <c r="D152" i="2"/>
  <c r="E152" i="2" s="1"/>
  <c r="D164" i="2"/>
  <c r="E164" i="2" s="1"/>
  <c r="D153" i="2"/>
  <c r="E153" i="2" s="1"/>
  <c r="F41" i="4" l="1"/>
  <c r="G42" i="4" s="1"/>
  <c r="E41" i="4"/>
  <c r="B43" i="4"/>
  <c r="C42" i="4"/>
  <c r="D42" i="4" s="1"/>
  <c r="D155" i="2"/>
  <c r="E155" i="2" s="1"/>
  <c r="D157" i="2"/>
  <c r="E157" i="2" s="1"/>
  <c r="D169" i="2"/>
  <c r="E169" i="2" s="1"/>
  <c r="D158" i="2"/>
  <c r="E158" i="2" s="1"/>
  <c r="D161" i="2"/>
  <c r="E161" i="2" s="1"/>
  <c r="H42" i="4" l="1"/>
  <c r="E42" i="4"/>
  <c r="F42" i="4"/>
  <c r="G43" i="4" s="1"/>
  <c r="B44" i="4"/>
  <c r="C43" i="4"/>
  <c r="D43" i="4" s="1"/>
  <c r="H43" i="4" s="1"/>
  <c r="D160" i="2"/>
  <c r="E160" i="2" s="1"/>
  <c r="D174" i="2"/>
  <c r="E174" i="2" s="1"/>
  <c r="D163" i="2"/>
  <c r="E163" i="2" s="1"/>
  <c r="D162" i="2"/>
  <c r="E162" i="2" s="1"/>
  <c r="D166" i="2"/>
  <c r="E166" i="2" s="1"/>
  <c r="F43" i="4" l="1"/>
  <c r="G44" i="4" s="1"/>
  <c r="E43" i="4"/>
  <c r="B45" i="4"/>
  <c r="C44" i="4"/>
  <c r="D44" i="4" s="1"/>
  <c r="H44" i="4" s="1"/>
  <c r="D165" i="2"/>
  <c r="E165" i="2" s="1"/>
  <c r="D171" i="2"/>
  <c r="E171" i="2" s="1"/>
  <c r="D167" i="2"/>
  <c r="E167" i="2" s="1"/>
  <c r="D168" i="2"/>
  <c r="E168" i="2" s="1"/>
  <c r="D179" i="2"/>
  <c r="E179" i="2" s="1"/>
  <c r="E44" i="4" l="1"/>
  <c r="F44" i="4"/>
  <c r="G45" i="4" s="1"/>
  <c r="B46" i="4"/>
  <c r="C45" i="4"/>
  <c r="D45" i="4" s="1"/>
  <c r="H45" i="4" s="1"/>
  <c r="D170" i="2"/>
  <c r="E170" i="2" s="1"/>
  <c r="D173" i="2"/>
  <c r="E173" i="2" s="1"/>
  <c r="D176" i="2"/>
  <c r="E176" i="2" s="1"/>
  <c r="D172" i="2"/>
  <c r="E172" i="2" s="1"/>
  <c r="D184" i="2"/>
  <c r="E184" i="2" s="1"/>
  <c r="E45" i="4" l="1"/>
  <c r="F45" i="4"/>
  <c r="G46" i="4" s="1"/>
  <c r="B47" i="4"/>
  <c r="C46" i="4"/>
  <c r="D46" i="4" s="1"/>
  <c r="H46" i="4" s="1"/>
  <c r="D175" i="2"/>
  <c r="E175" i="2" s="1"/>
  <c r="D177" i="2"/>
  <c r="E177" i="2" s="1"/>
  <c r="D181" i="2"/>
  <c r="E181" i="2" s="1"/>
  <c r="D178" i="2"/>
  <c r="E178" i="2" s="1"/>
  <c r="D189" i="2"/>
  <c r="E189" i="2" s="1"/>
  <c r="F46" i="4" l="1"/>
  <c r="G47" i="4" s="1"/>
  <c r="E46" i="4"/>
  <c r="B48" i="4"/>
  <c r="C47" i="4"/>
  <c r="D47" i="4" s="1"/>
  <c r="H47" i="4" s="1"/>
  <c r="D180" i="2"/>
  <c r="E180" i="2" s="1"/>
  <c r="D186" i="2"/>
  <c r="E186" i="2" s="1"/>
  <c r="D183" i="2"/>
  <c r="E183" i="2" s="1"/>
  <c r="D182" i="2"/>
  <c r="E182" i="2" s="1"/>
  <c r="D194" i="2"/>
  <c r="E194" i="2" s="1"/>
  <c r="E47" i="4" l="1"/>
  <c r="F47" i="4"/>
  <c r="G48" i="4" s="1"/>
  <c r="B49" i="4"/>
  <c r="C48" i="4"/>
  <c r="D48" i="4" s="1"/>
  <c r="H48" i="4" s="1"/>
  <c r="D185" i="2"/>
  <c r="E185" i="2" s="1"/>
  <c r="D187" i="2"/>
  <c r="E187" i="2" s="1"/>
  <c r="D188" i="2"/>
  <c r="E188" i="2" s="1"/>
  <c r="D199" i="2"/>
  <c r="E199" i="2" s="1"/>
  <c r="D191" i="2"/>
  <c r="E191" i="2" s="1"/>
  <c r="F48" i="4" l="1"/>
  <c r="G49" i="4" s="1"/>
  <c r="E48" i="4"/>
  <c r="B50" i="4"/>
  <c r="C49" i="4"/>
  <c r="D49" i="4" s="1"/>
  <c r="H49" i="4" s="1"/>
  <c r="D190" i="2"/>
  <c r="E190" i="2" s="1"/>
  <c r="D204" i="2"/>
  <c r="E204" i="2" s="1"/>
  <c r="D193" i="2"/>
  <c r="E193" i="2" s="1"/>
  <c r="D192" i="2"/>
  <c r="E192" i="2" s="1"/>
  <c r="D196" i="2"/>
  <c r="E196" i="2" s="1"/>
  <c r="F49" i="4" l="1"/>
  <c r="G50" i="4" s="1"/>
  <c r="E49" i="4"/>
  <c r="B51" i="4"/>
  <c r="C50" i="4"/>
  <c r="D50" i="4" s="1"/>
  <c r="H50" i="4" s="1"/>
  <c r="D195" i="2"/>
  <c r="E195" i="2" s="1"/>
  <c r="D197" i="2"/>
  <c r="E197" i="2" s="1"/>
  <c r="D198" i="2"/>
  <c r="E198" i="2" s="1"/>
  <c r="D201" i="2"/>
  <c r="E201" i="2" s="1"/>
  <c r="D209" i="2"/>
  <c r="E209" i="2" s="1"/>
  <c r="B52" i="4" l="1"/>
  <c r="C51" i="4"/>
  <c r="D51" i="4" s="1"/>
  <c r="F50" i="4"/>
  <c r="G51" i="4" s="1"/>
  <c r="E50" i="4"/>
  <c r="D200" i="2"/>
  <c r="E200" i="2" s="1"/>
  <c r="D206" i="2"/>
  <c r="E206" i="2" s="1"/>
  <c r="D203" i="2"/>
  <c r="E203" i="2" s="1"/>
  <c r="D202" i="2"/>
  <c r="E202" i="2" s="1"/>
  <c r="D214" i="2"/>
  <c r="E214" i="2" s="1"/>
  <c r="H51" i="4" l="1"/>
  <c r="E51" i="4"/>
  <c r="F51" i="4"/>
  <c r="G52" i="4" s="1"/>
  <c r="B53" i="4"/>
  <c r="C52" i="4"/>
  <c r="D52" i="4" s="1"/>
  <c r="H52" i="4" s="1"/>
  <c r="D205" i="2"/>
  <c r="E205" i="2" s="1"/>
  <c r="D219" i="2"/>
  <c r="E219" i="2" s="1"/>
  <c r="D208" i="2"/>
  <c r="E208" i="2" s="1"/>
  <c r="D207" i="2"/>
  <c r="E207" i="2" s="1"/>
  <c r="D211" i="2"/>
  <c r="E211" i="2" s="1"/>
  <c r="F52" i="4" l="1"/>
  <c r="G53" i="4" s="1"/>
  <c r="E52" i="4"/>
  <c r="B54" i="4"/>
  <c r="C53" i="4"/>
  <c r="D53" i="4" s="1"/>
  <c r="H53" i="4" s="1"/>
  <c r="D210" i="2"/>
  <c r="E210" i="2" s="1"/>
  <c r="D224" i="2"/>
  <c r="E224" i="2" s="1"/>
  <c r="D212" i="2"/>
  <c r="E212" i="2" s="1"/>
  <c r="D213" i="2"/>
  <c r="E213" i="2" s="1"/>
  <c r="D216" i="2"/>
  <c r="E216" i="2" s="1"/>
  <c r="E53" i="4" l="1"/>
  <c r="F53" i="4"/>
  <c r="G54" i="4" s="1"/>
  <c r="B55" i="4"/>
  <c r="C54" i="4"/>
  <c r="D54" i="4" s="1"/>
  <c r="H54" i="4" s="1"/>
  <c r="D215" i="2"/>
  <c r="E215" i="2" s="1"/>
  <c r="D218" i="2"/>
  <c r="E218" i="2" s="1"/>
  <c r="D217" i="2"/>
  <c r="E217" i="2" s="1"/>
  <c r="D221" i="2"/>
  <c r="E221" i="2" s="1"/>
  <c r="D229" i="2"/>
  <c r="E229" i="2" s="1"/>
  <c r="F54" i="4" l="1"/>
  <c r="G55" i="4" s="1"/>
  <c r="E54" i="4"/>
  <c r="B56" i="4"/>
  <c r="C55" i="4"/>
  <c r="D55" i="4" s="1"/>
  <c r="H55" i="4" s="1"/>
  <c r="D220" i="2"/>
  <c r="E220" i="2" s="1"/>
  <c r="D222" i="2"/>
  <c r="E222" i="2" s="1"/>
  <c r="D234" i="2"/>
  <c r="E234" i="2" s="1"/>
  <c r="D226" i="2"/>
  <c r="E226" i="2" s="1"/>
  <c r="D223" i="2"/>
  <c r="E223" i="2" s="1"/>
  <c r="F55" i="4" l="1"/>
  <c r="G56" i="4" s="1"/>
  <c r="E55" i="4"/>
  <c r="B57" i="4"/>
  <c r="C56" i="4"/>
  <c r="D56" i="4" s="1"/>
  <c r="H56" i="4" s="1"/>
  <c r="D225" i="2"/>
  <c r="E225" i="2" s="1"/>
  <c r="D231" i="2"/>
  <c r="E231" i="2" s="1"/>
  <c r="D239" i="2"/>
  <c r="E239" i="2" s="1"/>
  <c r="D227" i="2"/>
  <c r="E227" i="2" s="1"/>
  <c r="D228" i="2"/>
  <c r="E228" i="2" s="1"/>
  <c r="F56" i="4" l="1"/>
  <c r="G57" i="4" s="1"/>
  <c r="E56" i="4"/>
  <c r="B58" i="4"/>
  <c r="C57" i="4"/>
  <c r="D57" i="4" s="1"/>
  <c r="H57" i="4" s="1"/>
  <c r="D230" i="2"/>
  <c r="E230" i="2" s="1"/>
  <c r="D244" i="2"/>
  <c r="E244" i="2" s="1"/>
  <c r="D232" i="2"/>
  <c r="E232" i="2" s="1"/>
  <c r="D233" i="2"/>
  <c r="E233" i="2" s="1"/>
  <c r="D236" i="2"/>
  <c r="E236" i="2" s="1"/>
  <c r="F57" i="4" l="1"/>
  <c r="G58" i="4" s="1"/>
  <c r="E57" i="4"/>
  <c r="B59" i="4"/>
  <c r="C58" i="4"/>
  <c r="D58" i="4" s="1"/>
  <c r="H58" i="4" s="1"/>
  <c r="D235" i="2"/>
  <c r="E235" i="2" s="1"/>
  <c r="D241" i="2"/>
  <c r="E241" i="2" s="1"/>
  <c r="D238" i="2"/>
  <c r="E238" i="2" s="1"/>
  <c r="D237" i="2"/>
  <c r="E237" i="2" s="1"/>
  <c r="D249" i="2"/>
  <c r="E249" i="2" s="1"/>
  <c r="E58" i="4" l="1"/>
  <c r="F58" i="4"/>
  <c r="G59" i="4" s="1"/>
  <c r="B60" i="4"/>
  <c r="C59" i="4"/>
  <c r="D59" i="4" s="1"/>
  <c r="H59" i="4" s="1"/>
  <c r="D240" i="2"/>
  <c r="E240" i="2" s="1"/>
  <c r="D254" i="2"/>
  <c r="E254" i="2" s="1"/>
  <c r="D242" i="2"/>
  <c r="E242" i="2" s="1"/>
  <c r="D243" i="2"/>
  <c r="E243" i="2" s="1"/>
  <c r="D246" i="2"/>
  <c r="E246" i="2" s="1"/>
  <c r="E59" i="4" l="1"/>
  <c r="F59" i="4"/>
  <c r="G60" i="4" s="1"/>
  <c r="B61" i="4"/>
  <c r="C60" i="4"/>
  <c r="D60" i="4" s="1"/>
  <c r="H60" i="4" s="1"/>
  <c r="D245" i="2"/>
  <c r="E245" i="2" s="1"/>
  <c r="D247" i="2"/>
  <c r="E247" i="2" s="1"/>
  <c r="D251" i="2"/>
  <c r="E251" i="2" s="1"/>
  <c r="D248" i="2"/>
  <c r="E248" i="2" s="1"/>
  <c r="D259" i="2"/>
  <c r="E259" i="2" s="1"/>
  <c r="F60" i="4" l="1"/>
  <c r="G61" i="4" s="1"/>
  <c r="E60" i="4"/>
  <c r="B62" i="4"/>
  <c r="C61" i="4"/>
  <c r="D61" i="4" s="1"/>
  <c r="H61" i="4" s="1"/>
  <c r="D250" i="2"/>
  <c r="E250" i="2" s="1"/>
  <c r="D253" i="2"/>
  <c r="E253" i="2" s="1"/>
  <c r="D256" i="2"/>
  <c r="E256" i="2" s="1"/>
  <c r="D264" i="2"/>
  <c r="E264" i="2" s="1"/>
  <c r="D252" i="2"/>
  <c r="E252" i="2" s="1"/>
  <c r="E61" i="4" l="1"/>
  <c r="F61" i="4"/>
  <c r="G62" i="4" s="1"/>
  <c r="B63" i="4"/>
  <c r="C62" i="4"/>
  <c r="D62" i="4" s="1"/>
  <c r="H62" i="4" s="1"/>
  <c r="D255" i="2"/>
  <c r="E255" i="2" s="1"/>
  <c r="D269" i="2"/>
  <c r="E269" i="2" s="1"/>
  <c r="D261" i="2"/>
  <c r="E261" i="2" s="1"/>
  <c r="D258" i="2"/>
  <c r="E258" i="2" s="1"/>
  <c r="D257" i="2"/>
  <c r="E257" i="2" s="1"/>
  <c r="E62" i="4" l="1"/>
  <c r="F62" i="4"/>
  <c r="G63" i="4" s="1"/>
  <c r="B64" i="4"/>
  <c r="C63" i="4"/>
  <c r="D63" i="4" s="1"/>
  <c r="H63" i="4" s="1"/>
  <c r="D260" i="2"/>
  <c r="E260" i="2" s="1"/>
  <c r="D263" i="2"/>
  <c r="E263" i="2" s="1"/>
  <c r="D266" i="2"/>
  <c r="E266" i="2" s="1"/>
  <c r="D262" i="2"/>
  <c r="E262" i="2" s="1"/>
  <c r="D274" i="2"/>
  <c r="E274" i="2" s="1"/>
  <c r="F63" i="4" l="1"/>
  <c r="G64" i="4" s="1"/>
  <c r="E63" i="4"/>
  <c r="B65" i="4"/>
  <c r="C64" i="4"/>
  <c r="D64" i="4" s="1"/>
  <c r="H64" i="4" s="1"/>
  <c r="D265" i="2"/>
  <c r="E265" i="2" s="1"/>
  <c r="D267" i="2"/>
  <c r="E267" i="2" s="1"/>
  <c r="D271" i="2"/>
  <c r="E271" i="2" s="1"/>
  <c r="D268" i="2"/>
  <c r="E268" i="2" s="1"/>
  <c r="D279" i="2"/>
  <c r="E279" i="2" s="1"/>
  <c r="F64" i="4" l="1"/>
  <c r="G65" i="4" s="1"/>
  <c r="E64" i="4"/>
  <c r="B66" i="4"/>
  <c r="C65" i="4"/>
  <c r="D65" i="4" s="1"/>
  <c r="H65" i="4" s="1"/>
  <c r="D270" i="2"/>
  <c r="E270" i="2" s="1"/>
  <c r="D284" i="2"/>
  <c r="E284" i="2" s="1"/>
  <c r="D276" i="2"/>
  <c r="E276" i="2" s="1"/>
  <c r="D273" i="2"/>
  <c r="E273" i="2" s="1"/>
  <c r="D272" i="2"/>
  <c r="E272" i="2" s="1"/>
  <c r="F65" i="4" l="1"/>
  <c r="G66" i="4" s="1"/>
  <c r="E65" i="4"/>
  <c r="B67" i="4"/>
  <c r="C66" i="4"/>
  <c r="D66" i="4" s="1"/>
  <c r="H66" i="4" s="1"/>
  <c r="D275" i="2"/>
  <c r="E275" i="2" s="1"/>
  <c r="D278" i="2"/>
  <c r="E278" i="2" s="1"/>
  <c r="D281" i="2"/>
  <c r="E281" i="2" s="1"/>
  <c r="D289" i="2"/>
  <c r="E289" i="2" s="1"/>
  <c r="D277" i="2"/>
  <c r="E277" i="2" s="1"/>
  <c r="E66" i="4" l="1"/>
  <c r="F66" i="4"/>
  <c r="G67" i="4" s="1"/>
  <c r="B68" i="4"/>
  <c r="C67" i="4"/>
  <c r="D67" i="4" s="1"/>
  <c r="H67" i="4" s="1"/>
  <c r="D280" i="2"/>
  <c r="E280" i="2" s="1"/>
  <c r="D294" i="2"/>
  <c r="E294" i="2" s="1"/>
  <c r="D286" i="2"/>
  <c r="E286" i="2" s="1"/>
  <c r="D283" i="2"/>
  <c r="E283" i="2" s="1"/>
  <c r="D282" i="2"/>
  <c r="E282" i="2" s="1"/>
  <c r="E67" i="4" l="1"/>
  <c r="F67" i="4"/>
  <c r="G68" i="4" s="1"/>
  <c r="B69" i="4"/>
  <c r="C68" i="4"/>
  <c r="D68" i="4" s="1"/>
  <c r="H68" i="4" s="1"/>
  <c r="D285" i="2"/>
  <c r="E285" i="2" s="1"/>
  <c r="D288" i="2"/>
  <c r="E288" i="2" s="1"/>
  <c r="D299" i="2"/>
  <c r="E299" i="2" s="1"/>
  <c r="D287" i="2"/>
  <c r="E287" i="2" s="1"/>
  <c r="D291" i="2"/>
  <c r="E291" i="2" s="1"/>
  <c r="B70" i="4" l="1"/>
  <c r="C69" i="4"/>
  <c r="D69" i="4" s="1"/>
  <c r="F68" i="4"/>
  <c r="G69" i="4" s="1"/>
  <c r="E68" i="4"/>
  <c r="D290" i="2"/>
  <c r="E290" i="2" s="1"/>
  <c r="D292" i="2"/>
  <c r="E292" i="2" s="1"/>
  <c r="D304" i="2"/>
  <c r="E304" i="2" s="1"/>
  <c r="D293" i="2"/>
  <c r="E293" i="2" s="1"/>
  <c r="D296" i="2"/>
  <c r="E296" i="2" s="1"/>
  <c r="H69" i="4" l="1"/>
  <c r="E69" i="4"/>
  <c r="F69" i="4"/>
  <c r="G70" i="4" s="1"/>
  <c r="B71" i="4"/>
  <c r="C70" i="4"/>
  <c r="D70" i="4" s="1"/>
  <c r="H70" i="4" s="1"/>
  <c r="D295" i="2"/>
  <c r="E295" i="2" s="1"/>
  <c r="D301" i="2"/>
  <c r="E301" i="2" s="1"/>
  <c r="D298" i="2"/>
  <c r="E298" i="2" s="1"/>
  <c r="D309" i="2"/>
  <c r="E309" i="2" s="1"/>
  <c r="D297" i="2"/>
  <c r="E297" i="2" s="1"/>
  <c r="F70" i="4" l="1"/>
  <c r="G71" i="4" s="1"/>
  <c r="E70" i="4"/>
  <c r="B72" i="4"/>
  <c r="C71" i="4"/>
  <c r="D71" i="4" s="1"/>
  <c r="H71" i="4" s="1"/>
  <c r="D300" i="2"/>
  <c r="E300" i="2" s="1"/>
  <c r="D314" i="2"/>
  <c r="E314" i="2" s="1"/>
  <c r="D303" i="2"/>
  <c r="E303" i="2" s="1"/>
  <c r="D306" i="2"/>
  <c r="E306" i="2" s="1"/>
  <c r="D302" i="2"/>
  <c r="E302" i="2" s="1"/>
  <c r="F71" i="4" l="1"/>
  <c r="G72" i="4" s="1"/>
  <c r="E71" i="4"/>
  <c r="B73" i="4"/>
  <c r="C72" i="4"/>
  <c r="D72" i="4" s="1"/>
  <c r="H72" i="4" s="1"/>
  <c r="D305" i="2"/>
  <c r="E305" i="2" s="1"/>
  <c r="D311" i="2"/>
  <c r="E311" i="2" s="1"/>
  <c r="D308" i="2"/>
  <c r="E308" i="2" s="1"/>
  <c r="D307" i="2"/>
  <c r="E307" i="2" s="1"/>
  <c r="D319" i="2"/>
  <c r="E319" i="2" s="1"/>
  <c r="B74" i="4" l="1"/>
  <c r="C73" i="4"/>
  <c r="D73" i="4" s="1"/>
  <c r="F72" i="4"/>
  <c r="G73" i="4" s="1"/>
  <c r="E72" i="4"/>
  <c r="D310" i="2"/>
  <c r="E310" i="2" s="1"/>
  <c r="D312" i="2"/>
  <c r="E312" i="2" s="1"/>
  <c r="D313" i="2"/>
  <c r="E313" i="2" s="1"/>
  <c r="D324" i="2"/>
  <c r="E324" i="2" s="1"/>
  <c r="D316" i="2"/>
  <c r="E316" i="2" s="1"/>
  <c r="H73" i="4" l="1"/>
  <c r="E73" i="4"/>
  <c r="F73" i="4"/>
  <c r="G74" i="4" s="1"/>
  <c r="B75" i="4"/>
  <c r="C74" i="4"/>
  <c r="D74" i="4" s="1"/>
  <c r="H74" i="4" s="1"/>
  <c r="D315" i="2"/>
  <c r="E315" i="2" s="1"/>
  <c r="D318" i="2"/>
  <c r="E318" i="2" s="1"/>
  <c r="D329" i="2"/>
  <c r="E329" i="2" s="1"/>
  <c r="D317" i="2"/>
  <c r="E317" i="2" s="1"/>
  <c r="D321" i="2"/>
  <c r="E321" i="2" s="1"/>
  <c r="F74" i="4" l="1"/>
  <c r="G75" i="4" s="1"/>
  <c r="E74" i="4"/>
  <c r="B76" i="4"/>
  <c r="C75" i="4"/>
  <c r="D75" i="4" s="1"/>
  <c r="H75" i="4" s="1"/>
  <c r="D320" i="2"/>
  <c r="E320" i="2" s="1"/>
  <c r="D326" i="2"/>
  <c r="E326" i="2" s="1"/>
  <c r="D322" i="2"/>
  <c r="E322" i="2" s="1"/>
  <c r="D323" i="2"/>
  <c r="E323" i="2" s="1"/>
  <c r="D334" i="2"/>
  <c r="E334" i="2" s="1"/>
  <c r="F75" i="4" l="1"/>
  <c r="G76" i="4" s="1"/>
  <c r="E75" i="4"/>
  <c r="B77" i="4"/>
  <c r="C76" i="4"/>
  <c r="D76" i="4" s="1"/>
  <c r="H76" i="4" s="1"/>
  <c r="D325" i="2"/>
  <c r="E325" i="2" s="1"/>
  <c r="D328" i="2"/>
  <c r="E328" i="2" s="1"/>
  <c r="D339" i="2"/>
  <c r="E339" i="2" s="1"/>
  <c r="D327" i="2"/>
  <c r="E327" i="2" s="1"/>
  <c r="D331" i="2"/>
  <c r="E331" i="2" s="1"/>
  <c r="F76" i="4" l="1"/>
  <c r="G77" i="4" s="1"/>
  <c r="E76" i="4"/>
  <c r="B78" i="4"/>
  <c r="C77" i="4"/>
  <c r="D77" i="4" s="1"/>
  <c r="H77" i="4" s="1"/>
  <c r="D330" i="2"/>
  <c r="E330" i="2" s="1"/>
  <c r="D332" i="2"/>
  <c r="E332" i="2" s="1"/>
  <c r="D336" i="2"/>
  <c r="E336" i="2" s="1"/>
  <c r="D344" i="2"/>
  <c r="E344" i="2" s="1"/>
  <c r="D333" i="2"/>
  <c r="E333" i="2" s="1"/>
  <c r="E77" i="4" l="1"/>
  <c r="F77" i="4"/>
  <c r="G78" i="4" s="1"/>
  <c r="B79" i="4"/>
  <c r="C78" i="4"/>
  <c r="D78" i="4" s="1"/>
  <c r="H78" i="4" s="1"/>
  <c r="D335" i="2"/>
  <c r="E335" i="2" s="1"/>
  <c r="D349" i="2"/>
  <c r="E349" i="2" s="1"/>
  <c r="D341" i="2"/>
  <c r="E341" i="2" s="1"/>
  <c r="D337" i="2"/>
  <c r="E337" i="2" s="1"/>
  <c r="D338" i="2"/>
  <c r="E338" i="2" s="1"/>
  <c r="E78" i="4" l="1"/>
  <c r="F78" i="4"/>
  <c r="G79" i="4" s="1"/>
  <c r="B80" i="4"/>
  <c r="C79" i="4"/>
  <c r="D79" i="4" s="1"/>
  <c r="H79" i="4" s="1"/>
  <c r="D340" i="2"/>
  <c r="E340" i="2" s="1"/>
  <c r="D354" i="2"/>
  <c r="E354" i="2" s="1"/>
  <c r="D342" i="2"/>
  <c r="E342" i="2" s="1"/>
  <c r="D346" i="2"/>
  <c r="E346" i="2" s="1"/>
  <c r="D343" i="2"/>
  <c r="E343" i="2" s="1"/>
  <c r="F79" i="4" l="1"/>
  <c r="G80" i="4" s="1"/>
  <c r="E79" i="4"/>
  <c r="B81" i="4"/>
  <c r="C80" i="4"/>
  <c r="D80" i="4" s="1"/>
  <c r="D345" i="2"/>
  <c r="E345" i="2" s="1"/>
  <c r="D351" i="2"/>
  <c r="E351" i="2" s="1"/>
  <c r="D348" i="2"/>
  <c r="E348" i="2" s="1"/>
  <c r="D347" i="2"/>
  <c r="E347" i="2" s="1"/>
  <c r="D359" i="2"/>
  <c r="E359" i="2" s="1"/>
  <c r="H80" i="4" l="1"/>
  <c r="F80" i="4"/>
  <c r="G81" i="4" s="1"/>
  <c r="E80" i="4"/>
  <c r="B82" i="4"/>
  <c r="C81" i="4"/>
  <c r="D81" i="4" s="1"/>
  <c r="H81" i="4" s="1"/>
  <c r="D350" i="2"/>
  <c r="E350" i="2" s="1"/>
  <c r="D352" i="2"/>
  <c r="E352" i="2" s="1"/>
  <c r="D369" i="2"/>
  <c r="E369" i="2" s="1"/>
  <c r="D364" i="2"/>
  <c r="E364" i="2" s="1"/>
  <c r="D353" i="2"/>
  <c r="E353" i="2" s="1"/>
  <c r="D356" i="2"/>
  <c r="E356" i="2" s="1"/>
  <c r="E81" i="4" l="1"/>
  <c r="F81" i="4"/>
  <c r="G82" i="4" s="1"/>
  <c r="B83" i="4"/>
  <c r="C82" i="4"/>
  <c r="D82" i="4" s="1"/>
  <c r="H82" i="4" s="1"/>
  <c r="D355" i="2"/>
  <c r="E355" i="2" s="1"/>
  <c r="D361" i="2"/>
  <c r="E361" i="2" s="1"/>
  <c r="D366" i="2"/>
  <c r="E366" i="2" s="1"/>
  <c r="D358" i="2"/>
  <c r="E358" i="2" s="1"/>
  <c r="D357" i="2"/>
  <c r="E357" i="2" s="1"/>
  <c r="F82" i="4" l="1"/>
  <c r="G83" i="4" s="1"/>
  <c r="E82" i="4"/>
  <c r="B84" i="4"/>
  <c r="C83" i="4"/>
  <c r="D83" i="4" s="1"/>
  <c r="H83" i="4" s="1"/>
  <c r="D360" i="2"/>
  <c r="E360" i="2" s="1"/>
  <c r="D367" i="2"/>
  <c r="E367" i="2" s="1"/>
  <c r="D362" i="2"/>
  <c r="E362" i="2" s="1"/>
  <c r="D363" i="2"/>
  <c r="E363" i="2" s="1"/>
  <c r="D368" i="2"/>
  <c r="E368" i="2" s="1"/>
  <c r="F83" i="4" l="1"/>
  <c r="G84" i="4" s="1"/>
  <c r="E83" i="4"/>
  <c r="B85" i="4"/>
  <c r="C84" i="4"/>
  <c r="D84" i="4" s="1"/>
  <c r="H84" i="4" s="1"/>
  <c r="D370" i="2"/>
  <c r="E370" i="2" s="1"/>
  <c r="D365" i="2"/>
  <c r="E365" i="2" s="1"/>
  <c r="E84" i="4" l="1"/>
  <c r="F84" i="4"/>
  <c r="G85" i="4" s="1"/>
  <c r="B86" i="4"/>
  <c r="C85" i="4"/>
  <c r="D85" i="4" s="1"/>
  <c r="H85" i="4" s="1"/>
  <c r="E2" i="2"/>
  <c r="E85" i="4" l="1"/>
  <c r="F85" i="4"/>
  <c r="G86" i="4" s="1"/>
  <c r="B87" i="4"/>
  <c r="C86" i="4"/>
  <c r="D86" i="4" s="1"/>
  <c r="H86" i="4" s="1"/>
  <c r="F86" i="4" l="1"/>
  <c r="G87" i="4" s="1"/>
  <c r="E86" i="4"/>
  <c r="B88" i="4"/>
  <c r="C87" i="4"/>
  <c r="D87" i="4" s="1"/>
  <c r="H87" i="4" s="1"/>
  <c r="F87" i="4" l="1"/>
  <c r="G88" i="4" s="1"/>
  <c r="E87" i="4"/>
  <c r="B89" i="4"/>
  <c r="C88" i="4"/>
  <c r="D88" i="4" s="1"/>
  <c r="H88" i="4" s="1"/>
  <c r="F88" i="4" l="1"/>
  <c r="G89" i="4" s="1"/>
  <c r="E88" i="4"/>
  <c r="B90" i="4"/>
  <c r="C89" i="4"/>
  <c r="D89" i="4" s="1"/>
  <c r="H89" i="4" s="1"/>
  <c r="E89" i="4" l="1"/>
  <c r="F89" i="4"/>
  <c r="G90" i="4" s="1"/>
  <c r="B91" i="4"/>
  <c r="C90" i="4"/>
  <c r="D90" i="4" s="1"/>
  <c r="H90" i="4" s="1"/>
  <c r="F90" i="4" l="1"/>
  <c r="G91" i="4" s="1"/>
  <c r="E90" i="4"/>
  <c r="B92" i="4"/>
  <c r="C91" i="4"/>
  <c r="D91" i="4" s="1"/>
  <c r="H91" i="4" s="1"/>
  <c r="B93" i="4" l="1"/>
  <c r="C92" i="4"/>
  <c r="D92" i="4" s="1"/>
  <c r="F91" i="4"/>
  <c r="G92" i="4" s="1"/>
  <c r="E91" i="4"/>
  <c r="H92" i="4" l="1"/>
  <c r="F92" i="4"/>
  <c r="G93" i="4" s="1"/>
  <c r="E92" i="4"/>
  <c r="B94" i="4"/>
  <c r="C93" i="4"/>
  <c r="D93" i="4" s="1"/>
  <c r="H93" i="4" s="1"/>
  <c r="E93" i="4" l="1"/>
  <c r="F93" i="4"/>
  <c r="G94" i="4" s="1"/>
  <c r="B95" i="4"/>
  <c r="C94" i="4"/>
  <c r="D94" i="4" s="1"/>
  <c r="H94" i="4" s="1"/>
  <c r="F94" i="4" l="1"/>
  <c r="G95" i="4" s="1"/>
  <c r="E94" i="4"/>
  <c r="B96" i="4"/>
  <c r="C95" i="4"/>
  <c r="D95" i="4" s="1"/>
  <c r="H95" i="4" s="1"/>
  <c r="E95" i="4" l="1"/>
  <c r="F95" i="4"/>
  <c r="G96" i="4" s="1"/>
  <c r="B97" i="4"/>
  <c r="C96" i="4"/>
  <c r="D96" i="4" s="1"/>
  <c r="H96" i="4" s="1"/>
  <c r="F96" i="4" l="1"/>
  <c r="G97" i="4" s="1"/>
  <c r="E96" i="4"/>
  <c r="B98" i="4"/>
  <c r="C97" i="4"/>
  <c r="D97" i="4" s="1"/>
  <c r="H97" i="4" s="1"/>
  <c r="F97" i="4" l="1"/>
  <c r="G98" i="4" s="1"/>
  <c r="E97" i="4"/>
  <c r="B99" i="4"/>
  <c r="C98" i="4"/>
  <c r="D98" i="4" s="1"/>
  <c r="H98" i="4" s="1"/>
  <c r="F98" i="4" l="1"/>
  <c r="G99" i="4" s="1"/>
  <c r="E98" i="4"/>
  <c r="B100" i="4"/>
  <c r="C99" i="4"/>
  <c r="D99" i="4" s="1"/>
  <c r="H99" i="4" s="1"/>
  <c r="F99" i="4" l="1"/>
  <c r="G100" i="4" s="1"/>
  <c r="E99" i="4"/>
  <c r="B101" i="4"/>
  <c r="C100" i="4"/>
  <c r="D100" i="4" s="1"/>
  <c r="H100" i="4" s="1"/>
  <c r="B102" i="4" l="1"/>
  <c r="C101" i="4"/>
  <c r="D101" i="4" s="1"/>
  <c r="E100" i="4"/>
  <c r="F100" i="4"/>
  <c r="G101" i="4" s="1"/>
  <c r="H101" i="4" l="1"/>
  <c r="E101" i="4"/>
  <c r="F101" i="4"/>
  <c r="G102" i="4" s="1"/>
  <c r="B103" i="4"/>
  <c r="C102" i="4"/>
  <c r="D102" i="4" s="1"/>
  <c r="H102" i="4" s="1"/>
  <c r="F102" i="4" l="1"/>
  <c r="G103" i="4" s="1"/>
  <c r="E102" i="4"/>
  <c r="B104" i="4"/>
  <c r="C103" i="4"/>
  <c r="D103" i="4" s="1"/>
  <c r="H103" i="4" s="1"/>
  <c r="F103" i="4" l="1"/>
  <c r="G104" i="4" s="1"/>
  <c r="E103" i="4"/>
  <c r="B105" i="4"/>
  <c r="C104" i="4"/>
  <c r="D104" i="4" s="1"/>
  <c r="H104" i="4" s="1"/>
  <c r="F104" i="4" l="1"/>
  <c r="G105" i="4" s="1"/>
  <c r="E104" i="4"/>
  <c r="B106" i="4"/>
  <c r="C105" i="4"/>
  <c r="D105" i="4" s="1"/>
  <c r="H105" i="4" s="1"/>
  <c r="F105" i="4" l="1"/>
  <c r="G106" i="4" s="1"/>
  <c r="E105" i="4"/>
  <c r="B107" i="4"/>
  <c r="C106" i="4"/>
  <c r="D106" i="4" s="1"/>
  <c r="H106" i="4" s="1"/>
  <c r="E106" i="4" l="1"/>
  <c r="F106" i="4"/>
  <c r="G107" i="4" s="1"/>
  <c r="B108" i="4"/>
  <c r="C107" i="4"/>
  <c r="D107" i="4" s="1"/>
  <c r="H107" i="4" s="1"/>
  <c r="F107" i="4" l="1"/>
  <c r="G108" i="4" s="1"/>
  <c r="E107" i="4"/>
  <c r="B109" i="4"/>
  <c r="C108" i="4"/>
  <c r="D108" i="4" s="1"/>
  <c r="H108" i="4" s="1"/>
  <c r="F108" i="4" l="1"/>
  <c r="G109" i="4" s="1"/>
  <c r="E108" i="4"/>
  <c r="B110" i="4"/>
  <c r="C109" i="4"/>
  <c r="D109" i="4" s="1"/>
  <c r="H109" i="4" s="1"/>
  <c r="E109" i="4" l="1"/>
  <c r="F109" i="4"/>
  <c r="G110" i="4" s="1"/>
  <c r="B111" i="4"/>
  <c r="C110" i="4"/>
  <c r="D110" i="4" s="1"/>
  <c r="H110" i="4" s="1"/>
  <c r="B112" i="4" l="1"/>
  <c r="C111" i="4"/>
  <c r="D111" i="4" s="1"/>
  <c r="E110" i="4"/>
  <c r="F110" i="4"/>
  <c r="G111" i="4" s="1"/>
  <c r="H111" i="4" l="1"/>
  <c r="E111" i="4"/>
  <c r="F111" i="4"/>
  <c r="G112" i="4" s="1"/>
  <c r="B113" i="4"/>
  <c r="C112" i="4"/>
  <c r="D112" i="4" s="1"/>
  <c r="H112" i="4" s="1"/>
  <c r="F112" i="4" l="1"/>
  <c r="G113" i="4" s="1"/>
  <c r="E112" i="4"/>
  <c r="B114" i="4"/>
  <c r="C113" i="4"/>
  <c r="D113" i="4" s="1"/>
  <c r="H113" i="4" s="1"/>
  <c r="F113" i="4" l="1"/>
  <c r="G114" i="4" s="1"/>
  <c r="E113" i="4"/>
  <c r="B115" i="4"/>
  <c r="C114" i="4"/>
  <c r="D114" i="4" s="1"/>
  <c r="H114" i="4" s="1"/>
  <c r="F114" i="4" l="1"/>
  <c r="G115" i="4" s="1"/>
  <c r="E114" i="4"/>
  <c r="B116" i="4"/>
  <c r="C115" i="4"/>
  <c r="D115" i="4" s="1"/>
  <c r="H115" i="4" s="1"/>
  <c r="E115" i="4" l="1"/>
  <c r="F115" i="4"/>
  <c r="G116" i="4" s="1"/>
  <c r="B117" i="4"/>
  <c r="C116" i="4"/>
  <c r="D116" i="4" s="1"/>
  <c r="H116" i="4" s="1"/>
  <c r="E116" i="4" l="1"/>
  <c r="F116" i="4"/>
  <c r="G117" i="4" s="1"/>
  <c r="B118" i="4"/>
  <c r="C117" i="4"/>
  <c r="D117" i="4" s="1"/>
  <c r="H117" i="4" s="1"/>
  <c r="E117" i="4" l="1"/>
  <c r="F117" i="4"/>
  <c r="G118" i="4" s="1"/>
  <c r="B119" i="4"/>
  <c r="C118" i="4"/>
  <c r="D118" i="4" s="1"/>
  <c r="H118" i="4" s="1"/>
  <c r="E118" i="4" l="1"/>
  <c r="F118" i="4"/>
  <c r="G119" i="4" s="1"/>
  <c r="B120" i="4"/>
  <c r="C119" i="4"/>
  <c r="D119" i="4" s="1"/>
  <c r="H119" i="4" s="1"/>
  <c r="F119" i="4" l="1"/>
  <c r="G120" i="4" s="1"/>
  <c r="E119" i="4"/>
  <c r="B121" i="4"/>
  <c r="C120" i="4"/>
  <c r="D120" i="4" s="1"/>
  <c r="H120" i="4" s="1"/>
  <c r="F120" i="4" l="1"/>
  <c r="G121" i="4" s="1"/>
  <c r="E120" i="4"/>
  <c r="B122" i="4"/>
  <c r="C121" i="4"/>
  <c r="D121" i="4" s="1"/>
  <c r="H121" i="4" s="1"/>
  <c r="F121" i="4" l="1"/>
  <c r="G122" i="4" s="1"/>
  <c r="E121" i="4"/>
  <c r="B123" i="4"/>
  <c r="C122" i="4"/>
  <c r="D122" i="4" s="1"/>
  <c r="H122" i="4" s="1"/>
  <c r="B124" i="4" l="1"/>
  <c r="C123" i="4"/>
  <c r="D123" i="4" s="1"/>
  <c r="E122" i="4"/>
  <c r="F122" i="4"/>
  <c r="G123" i="4" s="1"/>
  <c r="H123" i="4" l="1"/>
  <c r="F123" i="4"/>
  <c r="G124" i="4" s="1"/>
  <c r="E123" i="4"/>
  <c r="B125" i="4"/>
  <c r="C124" i="4"/>
  <c r="D124" i="4" s="1"/>
  <c r="H124" i="4" s="1"/>
  <c r="F124" i="4" l="1"/>
  <c r="G125" i="4" s="1"/>
  <c r="E124" i="4"/>
  <c r="B126" i="4"/>
  <c r="C125" i="4"/>
  <c r="D125" i="4" s="1"/>
  <c r="H125" i="4" s="1"/>
  <c r="E125" i="4" l="1"/>
  <c r="F125" i="4"/>
  <c r="G126" i="4" s="1"/>
  <c r="B127" i="4"/>
  <c r="C126" i="4"/>
  <c r="D126" i="4" s="1"/>
  <c r="H126" i="4" s="1"/>
  <c r="E126" i="4" l="1"/>
  <c r="F126" i="4"/>
  <c r="G127" i="4" s="1"/>
  <c r="B128" i="4"/>
  <c r="C127" i="4"/>
  <c r="D127" i="4" s="1"/>
  <c r="H127" i="4" s="1"/>
  <c r="E127" i="4" l="1"/>
  <c r="F127" i="4"/>
  <c r="G128" i="4" s="1"/>
  <c r="B129" i="4"/>
  <c r="C128" i="4"/>
  <c r="D128" i="4" s="1"/>
  <c r="H128" i="4" s="1"/>
  <c r="F128" i="4" l="1"/>
  <c r="G129" i="4" s="1"/>
  <c r="E128" i="4"/>
  <c r="B130" i="4"/>
  <c r="C129" i="4"/>
  <c r="D129" i="4" s="1"/>
  <c r="H129" i="4" s="1"/>
  <c r="F129" i="4" l="1"/>
  <c r="G130" i="4" s="1"/>
  <c r="E129" i="4"/>
  <c r="B131" i="4"/>
  <c r="C130" i="4"/>
  <c r="D130" i="4" s="1"/>
  <c r="H130" i="4" s="1"/>
  <c r="B132" i="4" l="1"/>
  <c r="C131" i="4"/>
  <c r="D131" i="4" s="1"/>
  <c r="E130" i="4"/>
  <c r="F130" i="4"/>
  <c r="G131" i="4" s="1"/>
  <c r="H131" i="4" l="1"/>
  <c r="F131" i="4"/>
  <c r="G132" i="4" s="1"/>
  <c r="E131" i="4"/>
  <c r="B133" i="4"/>
  <c r="C132" i="4"/>
  <c r="D132" i="4" s="1"/>
  <c r="H132" i="4" s="1"/>
  <c r="E132" i="4" l="1"/>
  <c r="F132" i="4"/>
  <c r="G133" i="4" s="1"/>
  <c r="B134" i="4"/>
  <c r="C133" i="4"/>
  <c r="D133" i="4" s="1"/>
  <c r="H133" i="4" s="1"/>
  <c r="E133" i="4" l="1"/>
  <c r="F133" i="4"/>
  <c r="G134" i="4" s="1"/>
  <c r="B135" i="4"/>
  <c r="C134" i="4"/>
  <c r="D134" i="4" s="1"/>
  <c r="H134" i="4" s="1"/>
  <c r="E134" i="4" l="1"/>
  <c r="F134" i="4"/>
  <c r="G135" i="4" s="1"/>
  <c r="B136" i="4"/>
  <c r="C135" i="4"/>
  <c r="D135" i="4" s="1"/>
  <c r="H135" i="4" s="1"/>
  <c r="E135" i="4" l="1"/>
  <c r="F135" i="4"/>
  <c r="G136" i="4" s="1"/>
  <c r="B137" i="4"/>
  <c r="C136" i="4"/>
  <c r="D136" i="4" s="1"/>
  <c r="H136" i="4" s="1"/>
  <c r="F136" i="4" l="1"/>
  <c r="G137" i="4" s="1"/>
  <c r="E136" i="4"/>
  <c r="B138" i="4"/>
  <c r="C137" i="4"/>
  <c r="D137" i="4" s="1"/>
  <c r="H137" i="4" s="1"/>
  <c r="F137" i="4" l="1"/>
  <c r="G138" i="4" s="1"/>
  <c r="E137" i="4"/>
  <c r="B139" i="4"/>
  <c r="C138" i="4"/>
  <c r="D138" i="4" s="1"/>
  <c r="H138" i="4" s="1"/>
  <c r="F138" i="4" l="1"/>
  <c r="G139" i="4" s="1"/>
  <c r="E138" i="4"/>
  <c r="B140" i="4"/>
  <c r="C139" i="4"/>
  <c r="D139" i="4" s="1"/>
  <c r="H139" i="4" l="1"/>
  <c r="F139" i="4"/>
  <c r="G140" i="4" s="1"/>
  <c r="E139" i="4"/>
  <c r="B141" i="4"/>
  <c r="C140" i="4"/>
  <c r="D140" i="4" s="1"/>
  <c r="H140" i="4" s="1"/>
  <c r="E140" i="4" l="1"/>
  <c r="F140" i="4"/>
  <c r="G141" i="4" s="1"/>
  <c r="B142" i="4"/>
  <c r="C141" i="4"/>
  <c r="D141" i="4" s="1"/>
  <c r="H141" i="4" s="1"/>
  <c r="B143" i="4" l="1"/>
  <c r="C142" i="4"/>
  <c r="D142" i="4" s="1"/>
  <c r="E141" i="4"/>
  <c r="F141" i="4"/>
  <c r="G142" i="4" s="1"/>
  <c r="H142" i="4" l="1"/>
  <c r="E142" i="4"/>
  <c r="F142" i="4"/>
  <c r="G143" i="4" s="1"/>
  <c r="B144" i="4"/>
  <c r="C143" i="4"/>
  <c r="D143" i="4" s="1"/>
  <c r="H143" i="4" s="1"/>
  <c r="F143" i="4" l="1"/>
  <c r="G144" i="4" s="1"/>
  <c r="E143" i="4"/>
  <c r="B145" i="4"/>
  <c r="C144" i="4"/>
  <c r="D144" i="4" s="1"/>
  <c r="H144" i="4" s="1"/>
  <c r="B146" i="4" l="1"/>
  <c r="C145" i="4"/>
  <c r="D145" i="4" s="1"/>
  <c r="F144" i="4"/>
  <c r="G145" i="4" s="1"/>
  <c r="E144" i="4"/>
  <c r="H145" i="4" l="1"/>
  <c r="F145" i="4"/>
  <c r="G146" i="4" s="1"/>
  <c r="E145" i="4"/>
  <c r="B147" i="4"/>
  <c r="C146" i="4"/>
  <c r="D146" i="4" s="1"/>
  <c r="H146" i="4" s="1"/>
  <c r="F146" i="4" l="1"/>
  <c r="G147" i="4" s="1"/>
  <c r="E146" i="4"/>
  <c r="B148" i="4"/>
  <c r="C147" i="4"/>
  <c r="D147" i="4" s="1"/>
  <c r="H147" i="4" s="1"/>
  <c r="F147" i="4" l="1"/>
  <c r="G148" i="4" s="1"/>
  <c r="E147" i="4"/>
  <c r="B149" i="4"/>
  <c r="C148" i="4"/>
  <c r="D148" i="4" s="1"/>
  <c r="H148" i="4" s="1"/>
  <c r="F148" i="4" l="1"/>
  <c r="G149" i="4" s="1"/>
  <c r="E148" i="4"/>
  <c r="B150" i="4"/>
  <c r="C149" i="4"/>
  <c r="D149" i="4" s="1"/>
  <c r="H149" i="4" s="1"/>
  <c r="E149" i="4" l="1"/>
  <c r="F149" i="4"/>
  <c r="G150" i="4" s="1"/>
  <c r="B151" i="4"/>
  <c r="C150" i="4"/>
  <c r="D150" i="4" s="1"/>
  <c r="H150" i="4" s="1"/>
  <c r="E150" i="4" l="1"/>
  <c r="F150" i="4"/>
  <c r="G151" i="4" s="1"/>
  <c r="B152" i="4"/>
  <c r="C151" i="4"/>
  <c r="D151" i="4" s="1"/>
  <c r="H151" i="4" s="1"/>
  <c r="F151" i="4" l="1"/>
  <c r="G152" i="4" s="1"/>
  <c r="E151" i="4"/>
  <c r="B153" i="4"/>
  <c r="C152" i="4"/>
  <c r="D152" i="4" s="1"/>
  <c r="H152" i="4" s="1"/>
  <c r="F152" i="4" l="1"/>
  <c r="G153" i="4" s="1"/>
  <c r="E152" i="4"/>
  <c r="B154" i="4"/>
  <c r="C153" i="4"/>
  <c r="D153" i="4" s="1"/>
  <c r="H153" i="4" s="1"/>
  <c r="F153" i="4" l="1"/>
  <c r="G154" i="4" s="1"/>
  <c r="E153" i="4"/>
  <c r="B155" i="4"/>
  <c r="C154" i="4"/>
  <c r="D154" i="4" s="1"/>
  <c r="H154" i="4" s="1"/>
  <c r="F154" i="4" l="1"/>
  <c r="G155" i="4" s="1"/>
  <c r="E154" i="4"/>
  <c r="B156" i="4"/>
  <c r="C155" i="4"/>
  <c r="D155" i="4" s="1"/>
  <c r="H155" i="4" s="1"/>
  <c r="F155" i="4" l="1"/>
  <c r="G156" i="4" s="1"/>
  <c r="E155" i="4"/>
  <c r="B157" i="4"/>
  <c r="C156" i="4"/>
  <c r="D156" i="4" s="1"/>
  <c r="H156" i="4" s="1"/>
  <c r="F156" i="4" l="1"/>
  <c r="G157" i="4" s="1"/>
  <c r="E156" i="4"/>
  <c r="B158" i="4"/>
  <c r="C157" i="4"/>
  <c r="D157" i="4" s="1"/>
  <c r="H157" i="4" s="1"/>
  <c r="E157" i="4" l="1"/>
  <c r="F157" i="4"/>
  <c r="G158" i="4" s="1"/>
  <c r="B159" i="4"/>
  <c r="C158" i="4"/>
  <c r="D158" i="4" s="1"/>
  <c r="H158" i="4" s="1"/>
  <c r="E158" i="4" l="1"/>
  <c r="F158" i="4"/>
  <c r="G159" i="4" s="1"/>
  <c r="B160" i="4"/>
  <c r="C159" i="4"/>
  <c r="D159" i="4" s="1"/>
  <c r="H159" i="4" s="1"/>
  <c r="B161" i="4" l="1"/>
  <c r="C160" i="4"/>
  <c r="D160" i="4" s="1"/>
  <c r="F159" i="4"/>
  <c r="G160" i="4" s="1"/>
  <c r="E159" i="4"/>
  <c r="H160" i="4" l="1"/>
  <c r="F160" i="4"/>
  <c r="G161" i="4" s="1"/>
  <c r="E160" i="4"/>
  <c r="B162" i="4"/>
  <c r="C161" i="4"/>
  <c r="D161" i="4" s="1"/>
  <c r="H161" i="4" s="1"/>
  <c r="F161" i="4" l="1"/>
  <c r="G162" i="4" s="1"/>
  <c r="E161" i="4"/>
  <c r="B163" i="4"/>
  <c r="C162" i="4"/>
  <c r="D162" i="4" s="1"/>
  <c r="H162" i="4" s="1"/>
  <c r="F162" i="4" l="1"/>
  <c r="G163" i="4" s="1"/>
  <c r="E162" i="4"/>
  <c r="B164" i="4"/>
  <c r="C163" i="4"/>
  <c r="D163" i="4" s="1"/>
  <c r="H163" i="4" s="1"/>
  <c r="F163" i="4" l="1"/>
  <c r="G164" i="4" s="1"/>
  <c r="E163" i="4"/>
  <c r="B165" i="4"/>
  <c r="C164" i="4"/>
  <c r="D164" i="4" s="1"/>
  <c r="H164" i="4" s="1"/>
  <c r="F164" i="4" l="1"/>
  <c r="G165" i="4" s="1"/>
  <c r="E164" i="4"/>
  <c r="B166" i="4"/>
  <c r="C165" i="4"/>
  <c r="D165" i="4" s="1"/>
  <c r="H165" i="4" s="1"/>
  <c r="E165" i="4" l="1"/>
  <c r="F165" i="4"/>
  <c r="G166" i="4" s="1"/>
  <c r="B167" i="4"/>
  <c r="C166" i="4"/>
  <c r="D166" i="4" s="1"/>
  <c r="H166" i="4" s="1"/>
  <c r="F166" i="4" l="1"/>
  <c r="G167" i="4" s="1"/>
  <c r="E166" i="4"/>
  <c r="B168" i="4"/>
  <c r="C167" i="4"/>
  <c r="D167" i="4" s="1"/>
  <c r="H167" i="4" s="1"/>
  <c r="E167" i="4" l="1"/>
  <c r="F167" i="4"/>
  <c r="G168" i="4" s="1"/>
  <c r="B169" i="4"/>
  <c r="C168" i="4"/>
  <c r="D168" i="4" s="1"/>
  <c r="H168" i="4" s="1"/>
  <c r="F168" i="4" l="1"/>
  <c r="G169" i="4" s="1"/>
  <c r="E168" i="4"/>
  <c r="B170" i="4"/>
  <c r="C169" i="4"/>
  <c r="D169" i="4" s="1"/>
  <c r="H169" i="4" s="1"/>
  <c r="E169" i="4" l="1"/>
  <c r="F169" i="4"/>
  <c r="G170" i="4" s="1"/>
  <c r="B171" i="4"/>
  <c r="C170" i="4"/>
  <c r="D170" i="4" s="1"/>
  <c r="H170" i="4" s="1"/>
  <c r="E170" i="4" l="1"/>
  <c r="F170" i="4"/>
  <c r="G171" i="4" s="1"/>
  <c r="B172" i="4"/>
  <c r="C171" i="4"/>
  <c r="D171" i="4" s="1"/>
  <c r="H171" i="4" s="1"/>
  <c r="F171" i="4" l="1"/>
  <c r="G172" i="4" s="1"/>
  <c r="E171" i="4"/>
  <c r="B173" i="4"/>
  <c r="C172" i="4"/>
  <c r="D172" i="4" s="1"/>
  <c r="H172" i="4" s="1"/>
  <c r="F172" i="4" l="1"/>
  <c r="G173" i="4" s="1"/>
  <c r="E172" i="4"/>
  <c r="B174" i="4"/>
  <c r="C173" i="4"/>
  <c r="D173" i="4" s="1"/>
  <c r="H173" i="4" s="1"/>
  <c r="F173" i="4" l="1"/>
  <c r="G174" i="4" s="1"/>
  <c r="E173" i="4"/>
  <c r="B175" i="4"/>
  <c r="C174" i="4"/>
  <c r="D174" i="4" s="1"/>
  <c r="H174" i="4" s="1"/>
  <c r="E174" i="4" l="1"/>
  <c r="F174" i="4"/>
  <c r="G175" i="4" s="1"/>
  <c r="B176" i="4"/>
  <c r="C175" i="4"/>
  <c r="D175" i="4" s="1"/>
  <c r="H175" i="4" s="1"/>
  <c r="F175" i="4" l="1"/>
  <c r="G176" i="4" s="1"/>
  <c r="E175" i="4"/>
  <c r="B177" i="4"/>
  <c r="C176" i="4"/>
  <c r="D176" i="4" s="1"/>
  <c r="H176" i="4" s="1"/>
  <c r="F176" i="4" l="1"/>
  <c r="G177" i="4" s="1"/>
  <c r="E176" i="4"/>
  <c r="B178" i="4"/>
  <c r="C177" i="4"/>
  <c r="D177" i="4" s="1"/>
  <c r="H177" i="4" s="1"/>
  <c r="E177" i="4" l="1"/>
  <c r="F177" i="4"/>
  <c r="G178" i="4" s="1"/>
  <c r="B179" i="4"/>
  <c r="C178" i="4"/>
  <c r="D178" i="4" s="1"/>
  <c r="H178" i="4" s="1"/>
  <c r="F178" i="4" l="1"/>
  <c r="G179" i="4" s="1"/>
  <c r="E178" i="4"/>
  <c r="B180" i="4"/>
  <c r="C179" i="4"/>
  <c r="D179" i="4" s="1"/>
  <c r="H179" i="4" s="1"/>
  <c r="F179" i="4" l="1"/>
  <c r="G180" i="4" s="1"/>
  <c r="E179" i="4"/>
  <c r="B181" i="4"/>
  <c r="C180" i="4"/>
  <c r="D180" i="4" s="1"/>
  <c r="H180" i="4" l="1"/>
  <c r="F180" i="4"/>
  <c r="G181" i="4" s="1"/>
  <c r="E180" i="4"/>
  <c r="B182" i="4"/>
  <c r="C181" i="4"/>
  <c r="D181" i="4" s="1"/>
  <c r="H181" i="4" s="1"/>
  <c r="B183" i="4" l="1"/>
  <c r="C182" i="4"/>
  <c r="D182" i="4" s="1"/>
  <c r="E181" i="4"/>
  <c r="F181" i="4"/>
  <c r="G182" i="4" s="1"/>
  <c r="H182" i="4" l="1"/>
  <c r="F182" i="4"/>
  <c r="G183" i="4" s="1"/>
  <c r="E182" i="4"/>
  <c r="B184" i="4"/>
  <c r="C183" i="4"/>
  <c r="D183" i="4" s="1"/>
  <c r="H183" i="4" s="1"/>
  <c r="F183" i="4" l="1"/>
  <c r="G184" i="4" s="1"/>
  <c r="E183" i="4"/>
  <c r="B185" i="4"/>
  <c r="C184" i="4"/>
  <c r="D184" i="4" s="1"/>
  <c r="H184" i="4" s="1"/>
  <c r="F184" i="4" l="1"/>
  <c r="G185" i="4" s="1"/>
  <c r="E184" i="4"/>
  <c r="B186" i="4"/>
  <c r="C185" i="4"/>
  <c r="D185" i="4" s="1"/>
  <c r="H185" i="4" l="1"/>
  <c r="E185" i="4"/>
  <c r="F185" i="4"/>
  <c r="G186" i="4" s="1"/>
  <c r="B187" i="4"/>
  <c r="C186" i="4"/>
  <c r="D186" i="4" s="1"/>
  <c r="H186" i="4" s="1"/>
  <c r="F186" i="4" l="1"/>
  <c r="G187" i="4" s="1"/>
  <c r="E186" i="4"/>
  <c r="B188" i="4"/>
  <c r="C187" i="4"/>
  <c r="D187" i="4" s="1"/>
  <c r="H187" i="4" s="1"/>
  <c r="E187" i="4" l="1"/>
  <c r="F187" i="4"/>
  <c r="G188" i="4" s="1"/>
  <c r="B189" i="4"/>
  <c r="C188" i="4"/>
  <c r="D188" i="4" s="1"/>
  <c r="H188" i="4" s="1"/>
  <c r="F188" i="4" l="1"/>
  <c r="G189" i="4" s="1"/>
  <c r="E188" i="4"/>
  <c r="B190" i="4"/>
  <c r="C189" i="4"/>
  <c r="D189" i="4" s="1"/>
  <c r="H189" i="4" s="1"/>
  <c r="F189" i="4" l="1"/>
  <c r="G190" i="4" s="1"/>
  <c r="E189" i="4"/>
  <c r="B191" i="4"/>
  <c r="C190" i="4"/>
  <c r="D190" i="4" s="1"/>
  <c r="H190" i="4" s="1"/>
  <c r="F190" i="4" l="1"/>
  <c r="G191" i="4" s="1"/>
  <c r="E190" i="4"/>
  <c r="B192" i="4"/>
  <c r="C191" i="4"/>
  <c r="D191" i="4" s="1"/>
  <c r="H191" i="4" s="1"/>
  <c r="F191" i="4" l="1"/>
  <c r="G192" i="4" s="1"/>
  <c r="E191" i="4"/>
  <c r="B193" i="4"/>
  <c r="C192" i="4"/>
  <c r="D192" i="4" s="1"/>
  <c r="H192" i="4" s="1"/>
  <c r="E192" i="4" l="1"/>
  <c r="F192" i="4"/>
  <c r="G193" i="4" s="1"/>
  <c r="B194" i="4"/>
  <c r="C193" i="4"/>
  <c r="D193" i="4" s="1"/>
  <c r="H193" i="4" s="1"/>
  <c r="E193" i="4" l="1"/>
  <c r="F193" i="4"/>
  <c r="G194" i="4" s="1"/>
  <c r="B195" i="4"/>
  <c r="C194" i="4"/>
  <c r="D194" i="4" s="1"/>
  <c r="H194" i="4" s="1"/>
  <c r="E194" i="4" l="1"/>
  <c r="F194" i="4"/>
  <c r="G195" i="4" s="1"/>
  <c r="B196" i="4"/>
  <c r="C195" i="4"/>
  <c r="D195" i="4" s="1"/>
  <c r="H195" i="4" s="1"/>
  <c r="F195" i="4" l="1"/>
  <c r="G196" i="4" s="1"/>
  <c r="E195" i="4"/>
  <c r="B197" i="4"/>
  <c r="C196" i="4"/>
  <c r="D196" i="4" s="1"/>
  <c r="H196" i="4" s="1"/>
  <c r="F196" i="4" l="1"/>
  <c r="G197" i="4" s="1"/>
  <c r="E196" i="4"/>
  <c r="B198" i="4"/>
  <c r="C197" i="4"/>
  <c r="D197" i="4" s="1"/>
  <c r="H197" i="4" s="1"/>
  <c r="F197" i="4" l="1"/>
  <c r="G198" i="4" s="1"/>
  <c r="E197" i="4"/>
  <c r="B199" i="4"/>
  <c r="C198" i="4"/>
  <c r="D198" i="4" s="1"/>
  <c r="H198" i="4" s="1"/>
  <c r="E198" i="4" l="1"/>
  <c r="F198" i="4"/>
  <c r="G199" i="4" s="1"/>
  <c r="B200" i="4"/>
  <c r="C199" i="4"/>
  <c r="D199" i="4" s="1"/>
  <c r="H199" i="4" s="1"/>
  <c r="F199" i="4" l="1"/>
  <c r="G200" i="4" s="1"/>
  <c r="E199" i="4"/>
  <c r="B201" i="4"/>
  <c r="C200" i="4"/>
  <c r="D200" i="4" s="1"/>
  <c r="H200" i="4" s="1"/>
  <c r="F200" i="4" l="1"/>
  <c r="G201" i="4" s="1"/>
  <c r="E200" i="4"/>
  <c r="B202" i="4"/>
  <c r="C201" i="4"/>
  <c r="D201" i="4" s="1"/>
  <c r="H201" i="4" s="1"/>
  <c r="E201" i="4" l="1"/>
  <c r="F201" i="4"/>
  <c r="G202" i="4" s="1"/>
  <c r="B203" i="4"/>
  <c r="C202" i="4"/>
  <c r="D202" i="4" s="1"/>
  <c r="H202" i="4" s="1"/>
  <c r="F202" i="4" l="1"/>
  <c r="G203" i="4" s="1"/>
  <c r="E202" i="4"/>
  <c r="B204" i="4"/>
  <c r="C203" i="4"/>
  <c r="D203" i="4" s="1"/>
  <c r="H203" i="4" s="1"/>
  <c r="E203" i="4" l="1"/>
  <c r="F203" i="4"/>
  <c r="G204" i="4" s="1"/>
  <c r="B205" i="4"/>
  <c r="C204" i="4"/>
  <c r="D204" i="4" s="1"/>
  <c r="H204" i="4" s="1"/>
  <c r="F204" i="4" l="1"/>
  <c r="G205" i="4" s="1"/>
  <c r="E204" i="4"/>
  <c r="B206" i="4"/>
  <c r="C205" i="4"/>
  <c r="D205" i="4" s="1"/>
  <c r="H205" i="4" s="1"/>
  <c r="E205" i="4" l="1"/>
  <c r="F205" i="4"/>
  <c r="G206" i="4" s="1"/>
  <c r="B207" i="4"/>
  <c r="C206" i="4"/>
  <c r="D206" i="4" s="1"/>
  <c r="H206" i="4" s="1"/>
  <c r="B208" i="4" l="1"/>
  <c r="C207" i="4"/>
  <c r="D207" i="4" s="1"/>
  <c r="F206" i="4"/>
  <c r="G207" i="4" s="1"/>
  <c r="E206" i="4"/>
  <c r="H207" i="4" l="1"/>
  <c r="E207" i="4"/>
  <c r="F207" i="4"/>
  <c r="G208" i="4" s="1"/>
  <c r="B209" i="4"/>
  <c r="C208" i="4"/>
  <c r="D208" i="4" s="1"/>
  <c r="H208" i="4" s="1"/>
  <c r="F208" i="4" l="1"/>
  <c r="G209" i="4" s="1"/>
  <c r="E208" i="4"/>
  <c r="B210" i="4"/>
  <c r="C209" i="4"/>
  <c r="D209" i="4" s="1"/>
  <c r="H209" i="4" s="1"/>
  <c r="E209" i="4" l="1"/>
  <c r="F209" i="4"/>
  <c r="G210" i="4" s="1"/>
  <c r="B211" i="4"/>
  <c r="C210" i="4"/>
  <c r="D210" i="4" s="1"/>
  <c r="H210" i="4" s="1"/>
  <c r="F210" i="4" l="1"/>
  <c r="G211" i="4" s="1"/>
  <c r="E210" i="4"/>
  <c r="B212" i="4"/>
  <c r="C211" i="4"/>
  <c r="D211" i="4" s="1"/>
  <c r="H211" i="4" s="1"/>
  <c r="E211" i="4" l="1"/>
  <c r="F211" i="4"/>
  <c r="G212" i="4" s="1"/>
  <c r="B213" i="4"/>
  <c r="C212" i="4"/>
  <c r="D212" i="4" s="1"/>
  <c r="H212" i="4" s="1"/>
  <c r="F212" i="4" l="1"/>
  <c r="G213" i="4" s="1"/>
  <c r="E212" i="4"/>
  <c r="B214" i="4"/>
  <c r="C213" i="4"/>
  <c r="D213" i="4" s="1"/>
  <c r="H213" i="4" s="1"/>
  <c r="F213" i="4" l="1"/>
  <c r="G214" i="4" s="1"/>
  <c r="E213" i="4"/>
  <c r="B215" i="4"/>
  <c r="C214" i="4"/>
  <c r="D214" i="4" s="1"/>
  <c r="H214" i="4" s="1"/>
  <c r="F214" i="4" l="1"/>
  <c r="G215" i="4" s="1"/>
  <c r="E214" i="4"/>
  <c r="B216" i="4"/>
  <c r="C215" i="4"/>
  <c r="D215" i="4" s="1"/>
  <c r="H215" i="4" l="1"/>
  <c r="F215" i="4"/>
  <c r="G216" i="4" s="1"/>
  <c r="E215" i="4"/>
  <c r="B217" i="4"/>
  <c r="C216" i="4"/>
  <c r="D216" i="4" s="1"/>
  <c r="H216" i="4" s="1"/>
  <c r="B218" i="4" l="1"/>
  <c r="C217" i="4"/>
  <c r="D217" i="4" s="1"/>
  <c r="E216" i="4"/>
  <c r="F216" i="4"/>
  <c r="G217" i="4" s="1"/>
  <c r="H217" i="4" l="1"/>
  <c r="F217" i="4"/>
  <c r="G218" i="4" s="1"/>
  <c r="E217" i="4"/>
  <c r="B219" i="4"/>
  <c r="C218" i="4"/>
  <c r="D218" i="4" s="1"/>
  <c r="H218" i="4" s="1"/>
  <c r="B220" i="4" l="1"/>
  <c r="C219" i="4"/>
  <c r="D219" i="4" s="1"/>
  <c r="F218" i="4"/>
  <c r="G219" i="4" s="1"/>
  <c r="E218" i="4"/>
  <c r="H219" i="4" l="1"/>
  <c r="F219" i="4"/>
  <c r="G220" i="4" s="1"/>
  <c r="E219" i="4"/>
  <c r="B221" i="4"/>
  <c r="C220" i="4"/>
  <c r="D220" i="4" s="1"/>
  <c r="H220" i="4" s="1"/>
  <c r="B222" i="4" l="1"/>
  <c r="C221" i="4"/>
  <c r="D221" i="4" s="1"/>
  <c r="H221" i="4" s="1"/>
  <c r="F220" i="4"/>
  <c r="G221" i="4" s="1"/>
  <c r="E220" i="4"/>
  <c r="E221" i="4" l="1"/>
  <c r="F221" i="4"/>
  <c r="G222" i="4" s="1"/>
  <c r="B223" i="4"/>
  <c r="C222" i="4"/>
  <c r="D222" i="4" s="1"/>
  <c r="H222" i="4" s="1"/>
  <c r="E222" i="4" l="1"/>
  <c r="F222" i="4"/>
  <c r="G223" i="4" s="1"/>
  <c r="B224" i="4"/>
  <c r="C223" i="4"/>
  <c r="D223" i="4" s="1"/>
  <c r="H223" i="4" s="1"/>
  <c r="F223" i="4" l="1"/>
  <c r="G224" i="4" s="1"/>
  <c r="E223" i="4"/>
  <c r="B225" i="4"/>
  <c r="C224" i="4"/>
  <c r="D224" i="4" s="1"/>
  <c r="H224" i="4" s="1"/>
  <c r="F224" i="4" l="1"/>
  <c r="G225" i="4" s="1"/>
  <c r="E224" i="4"/>
  <c r="B226" i="4"/>
  <c r="C225" i="4"/>
  <c r="D225" i="4" s="1"/>
  <c r="H225" i="4" s="1"/>
  <c r="F225" i="4" l="1"/>
  <c r="G226" i="4" s="1"/>
  <c r="E225" i="4"/>
  <c r="B227" i="4"/>
  <c r="C226" i="4"/>
  <c r="D226" i="4" s="1"/>
  <c r="H226" i="4" s="1"/>
  <c r="F226" i="4" l="1"/>
  <c r="G227" i="4" s="1"/>
  <c r="E226" i="4"/>
  <c r="B228" i="4"/>
  <c r="C227" i="4"/>
  <c r="D227" i="4" s="1"/>
  <c r="H227" i="4" s="1"/>
  <c r="E227" i="4" l="1"/>
  <c r="F227" i="4"/>
  <c r="G228" i="4" s="1"/>
  <c r="B229" i="4"/>
  <c r="C228" i="4"/>
  <c r="D228" i="4" s="1"/>
  <c r="H228" i="4" s="1"/>
  <c r="F228" i="4" l="1"/>
  <c r="G229" i="4" s="1"/>
  <c r="E228" i="4"/>
  <c r="B230" i="4"/>
  <c r="C229" i="4"/>
  <c r="D229" i="4" s="1"/>
  <c r="H229" i="4" s="1"/>
  <c r="F229" i="4" l="1"/>
  <c r="G230" i="4" s="1"/>
  <c r="E229" i="4"/>
  <c r="B231" i="4"/>
  <c r="C230" i="4"/>
  <c r="D230" i="4" s="1"/>
  <c r="H230" i="4" s="1"/>
  <c r="E230" i="4" l="1"/>
  <c r="F230" i="4"/>
  <c r="G231" i="4" s="1"/>
  <c r="B232" i="4"/>
  <c r="C231" i="4"/>
  <c r="D231" i="4" s="1"/>
  <c r="H231" i="4" s="1"/>
  <c r="F231" i="4" l="1"/>
  <c r="G232" i="4" s="1"/>
  <c r="E231" i="4"/>
  <c r="B233" i="4"/>
  <c r="C232" i="4"/>
  <c r="D232" i="4" s="1"/>
  <c r="H232" i="4" s="1"/>
  <c r="E232" i="4" l="1"/>
  <c r="F232" i="4"/>
  <c r="G233" i="4" s="1"/>
  <c r="B234" i="4"/>
  <c r="C233" i="4"/>
  <c r="D233" i="4" s="1"/>
  <c r="H233" i="4" s="1"/>
  <c r="B235" i="4" l="1"/>
  <c r="C234" i="4"/>
  <c r="D234" i="4" s="1"/>
  <c r="F233" i="4"/>
  <c r="G234" i="4" s="1"/>
  <c r="E233" i="4"/>
  <c r="H234" i="4" l="1"/>
  <c r="F234" i="4"/>
  <c r="G235" i="4" s="1"/>
  <c r="E234" i="4"/>
  <c r="B236" i="4"/>
  <c r="C235" i="4"/>
  <c r="D235" i="4" s="1"/>
  <c r="H235" i="4" s="1"/>
  <c r="E235" i="4" l="1"/>
  <c r="F235" i="4"/>
  <c r="G236" i="4" s="1"/>
  <c r="B237" i="4"/>
  <c r="C236" i="4"/>
  <c r="D236" i="4" s="1"/>
  <c r="H236" i="4" s="1"/>
  <c r="E236" i="4" l="1"/>
  <c r="F236" i="4"/>
  <c r="G237" i="4" s="1"/>
  <c r="B238" i="4"/>
  <c r="C237" i="4"/>
  <c r="D237" i="4" s="1"/>
  <c r="H237" i="4" s="1"/>
  <c r="F237" i="4" l="1"/>
  <c r="G238" i="4" s="1"/>
  <c r="E237" i="4"/>
  <c r="B239" i="4"/>
  <c r="C238" i="4"/>
  <c r="D238" i="4" s="1"/>
  <c r="H238" i="4" s="1"/>
  <c r="E238" i="4" l="1"/>
  <c r="F238" i="4"/>
  <c r="G239" i="4" s="1"/>
  <c r="B240" i="4"/>
  <c r="C239" i="4"/>
  <c r="D239" i="4" s="1"/>
  <c r="H239" i="4" s="1"/>
  <c r="F239" i="4" l="1"/>
  <c r="G240" i="4" s="1"/>
  <c r="E239" i="4"/>
  <c r="B241" i="4"/>
  <c r="C240" i="4"/>
  <c r="D240" i="4" s="1"/>
  <c r="H240" i="4" s="1"/>
  <c r="F240" i="4" l="1"/>
  <c r="G241" i="4" s="1"/>
  <c r="E240" i="4"/>
  <c r="B242" i="4"/>
  <c r="C241" i="4"/>
  <c r="D241" i="4" s="1"/>
  <c r="H241" i="4" s="1"/>
  <c r="E241" i="4" l="1"/>
  <c r="F241" i="4"/>
  <c r="G242" i="4" s="1"/>
  <c r="B243" i="4"/>
  <c r="C242" i="4"/>
  <c r="D242" i="4" s="1"/>
  <c r="H242" i="4" s="1"/>
  <c r="F242" i="4" l="1"/>
  <c r="G243" i="4" s="1"/>
  <c r="E242" i="4"/>
  <c r="B244" i="4"/>
  <c r="C243" i="4"/>
  <c r="D243" i="4" s="1"/>
  <c r="H243" i="4" s="1"/>
  <c r="B245" i="4" l="1"/>
  <c r="C244" i="4"/>
  <c r="D244" i="4" s="1"/>
  <c r="F243" i="4"/>
  <c r="G244" i="4" s="1"/>
  <c r="E243" i="4"/>
  <c r="H244" i="4" l="1"/>
  <c r="E244" i="4"/>
  <c r="F244" i="4"/>
  <c r="G245" i="4" s="1"/>
  <c r="B246" i="4"/>
  <c r="C245" i="4"/>
  <c r="D245" i="4" s="1"/>
  <c r="H245" i="4" s="1"/>
  <c r="B247" i="4" l="1"/>
  <c r="C246" i="4"/>
  <c r="D246" i="4" s="1"/>
  <c r="F245" i="4"/>
  <c r="G246" i="4" s="1"/>
  <c r="E245" i="4"/>
  <c r="H246" i="4" l="1"/>
  <c r="B248" i="4"/>
  <c r="C247" i="4"/>
  <c r="D247" i="4" s="1"/>
  <c r="F246" i="4"/>
  <c r="G247" i="4" s="1"/>
  <c r="E246" i="4"/>
  <c r="H247" i="4" l="1"/>
  <c r="F247" i="4"/>
  <c r="G248" i="4" s="1"/>
  <c r="E247" i="4"/>
  <c r="B249" i="4"/>
  <c r="C248" i="4"/>
  <c r="D248" i="4" s="1"/>
  <c r="H248" i="4" s="1"/>
  <c r="F248" i="4" l="1"/>
  <c r="G249" i="4" s="1"/>
  <c r="E248" i="4"/>
  <c r="B250" i="4"/>
  <c r="C249" i="4"/>
  <c r="D249" i="4" s="1"/>
  <c r="H249" i="4" s="1"/>
  <c r="F249" i="4" l="1"/>
  <c r="G250" i="4" s="1"/>
  <c r="E249" i="4"/>
  <c r="B251" i="4"/>
  <c r="C250" i="4"/>
  <c r="D250" i="4" s="1"/>
  <c r="H250" i="4" s="1"/>
  <c r="E250" i="4" l="1"/>
  <c r="F250" i="4"/>
  <c r="G251" i="4" s="1"/>
  <c r="B252" i="4"/>
  <c r="C251" i="4"/>
  <c r="D251" i="4" s="1"/>
  <c r="H251" i="4" s="1"/>
  <c r="F251" i="4" l="1"/>
  <c r="G252" i="4" s="1"/>
  <c r="E251" i="4"/>
  <c r="B253" i="4"/>
  <c r="C252" i="4"/>
  <c r="D252" i="4" s="1"/>
  <c r="H252" i="4" s="1"/>
  <c r="E252" i="4" l="1"/>
  <c r="F252" i="4"/>
  <c r="G253" i="4" s="1"/>
  <c r="B254" i="4"/>
  <c r="C253" i="4"/>
  <c r="D253" i="4" s="1"/>
  <c r="H253" i="4" s="1"/>
  <c r="F253" i="4" l="1"/>
  <c r="G254" i="4" s="1"/>
  <c r="E253" i="4"/>
  <c r="B255" i="4"/>
  <c r="C254" i="4"/>
  <c r="D254" i="4" s="1"/>
  <c r="H254" i="4" s="1"/>
  <c r="E254" i="4" l="1"/>
  <c r="F254" i="4"/>
  <c r="G255" i="4" s="1"/>
  <c r="B256" i="4"/>
  <c r="C255" i="4"/>
  <c r="D255" i="4" s="1"/>
  <c r="H255" i="4" s="1"/>
  <c r="F255" i="4" l="1"/>
  <c r="G256" i="4" s="1"/>
  <c r="E255" i="4"/>
  <c r="B257" i="4"/>
  <c r="C256" i="4"/>
  <c r="D256" i="4" s="1"/>
  <c r="H256" i="4" s="1"/>
  <c r="F256" i="4" l="1"/>
  <c r="G257" i="4" s="1"/>
  <c r="E256" i="4"/>
  <c r="B258" i="4"/>
  <c r="C257" i="4"/>
  <c r="D257" i="4" s="1"/>
  <c r="H257" i="4" s="1"/>
  <c r="B259" i="4" l="1"/>
  <c r="C258" i="4"/>
  <c r="D258" i="4" s="1"/>
  <c r="F257" i="4"/>
  <c r="G258" i="4" s="1"/>
  <c r="E257" i="4"/>
  <c r="H258" i="4" l="1"/>
  <c r="F258" i="4"/>
  <c r="G259" i="4" s="1"/>
  <c r="E258" i="4"/>
  <c r="B260" i="4"/>
  <c r="C259" i="4"/>
  <c r="D259" i="4" s="1"/>
  <c r="H259" i="4" s="1"/>
  <c r="F259" i="4" l="1"/>
  <c r="G260" i="4" s="1"/>
  <c r="E259" i="4"/>
  <c r="B261" i="4"/>
  <c r="C260" i="4"/>
  <c r="D260" i="4" s="1"/>
  <c r="H260" i="4" s="1"/>
  <c r="E260" i="4" l="1"/>
  <c r="F260" i="4"/>
  <c r="G261" i="4" s="1"/>
  <c r="B262" i="4"/>
  <c r="C261" i="4"/>
  <c r="D261" i="4" s="1"/>
  <c r="H261" i="4" s="1"/>
  <c r="E261" i="4" l="1"/>
  <c r="F261" i="4"/>
  <c r="G262" i="4" s="1"/>
  <c r="B263" i="4"/>
  <c r="C262" i="4"/>
  <c r="D262" i="4" s="1"/>
  <c r="H262" i="4" s="1"/>
  <c r="E262" i="4" l="1"/>
  <c r="F262" i="4"/>
  <c r="G263" i="4" s="1"/>
  <c r="B264" i="4"/>
  <c r="C263" i="4"/>
  <c r="D263" i="4" s="1"/>
  <c r="H263" i="4" s="1"/>
  <c r="F263" i="4" l="1"/>
  <c r="G264" i="4" s="1"/>
  <c r="E263" i="4"/>
  <c r="B265" i="4"/>
  <c r="C264" i="4"/>
  <c r="D264" i="4" s="1"/>
  <c r="H264" i="4" s="1"/>
  <c r="F264" i="4" l="1"/>
  <c r="G265" i="4" s="1"/>
  <c r="E264" i="4"/>
  <c r="B266" i="4"/>
  <c r="C265" i="4"/>
  <c r="D265" i="4" s="1"/>
  <c r="H265" i="4" s="1"/>
  <c r="F265" i="4" l="1"/>
  <c r="G266" i="4" s="1"/>
  <c r="E265" i="4"/>
  <c r="B267" i="4"/>
  <c r="C266" i="4"/>
  <c r="D266" i="4" s="1"/>
  <c r="H266" i="4" s="1"/>
  <c r="F266" i="4" l="1"/>
  <c r="G267" i="4" s="1"/>
  <c r="E266" i="4"/>
  <c r="B268" i="4"/>
  <c r="C267" i="4"/>
  <c r="D267" i="4" s="1"/>
  <c r="H267" i="4" s="1"/>
  <c r="F267" i="4" l="1"/>
  <c r="G268" i="4" s="1"/>
  <c r="E267" i="4"/>
  <c r="B269" i="4"/>
  <c r="C268" i="4"/>
  <c r="D268" i="4" s="1"/>
  <c r="H268" i="4" s="1"/>
  <c r="E268" i="4" l="1"/>
  <c r="F268" i="4"/>
  <c r="G269" i="4" s="1"/>
  <c r="B270" i="4"/>
  <c r="C269" i="4"/>
  <c r="D269" i="4" s="1"/>
  <c r="H269" i="4" s="1"/>
  <c r="E269" i="4" l="1"/>
  <c r="F269" i="4"/>
  <c r="G270" i="4" s="1"/>
  <c r="B271" i="4"/>
  <c r="C270" i="4"/>
  <c r="D270" i="4" s="1"/>
  <c r="H270" i="4" s="1"/>
  <c r="F270" i="4" l="1"/>
  <c r="G271" i="4" s="1"/>
  <c r="E270" i="4"/>
  <c r="B272" i="4"/>
  <c r="C271" i="4"/>
  <c r="D271" i="4" s="1"/>
  <c r="H271" i="4" s="1"/>
  <c r="F271" i="4" l="1"/>
  <c r="G272" i="4" s="1"/>
  <c r="E271" i="4"/>
  <c r="B273" i="4"/>
  <c r="C272" i="4"/>
  <c r="D272" i="4" s="1"/>
  <c r="H272" i="4" s="1"/>
  <c r="E272" i="4" l="1"/>
  <c r="F272" i="4"/>
  <c r="G273" i="4" s="1"/>
  <c r="B274" i="4"/>
  <c r="C273" i="4"/>
  <c r="D273" i="4" s="1"/>
  <c r="H273" i="4" s="1"/>
  <c r="E273" i="4" l="1"/>
  <c r="F273" i="4"/>
  <c r="G274" i="4" s="1"/>
  <c r="B275" i="4"/>
  <c r="C274" i="4"/>
  <c r="D274" i="4" s="1"/>
  <c r="H274" i="4" s="1"/>
  <c r="B276" i="4" l="1"/>
  <c r="C275" i="4"/>
  <c r="D275" i="4" s="1"/>
  <c r="E274" i="4"/>
  <c r="F274" i="4"/>
  <c r="G275" i="4" s="1"/>
  <c r="H275" i="4" l="1"/>
  <c r="F275" i="4"/>
  <c r="G276" i="4" s="1"/>
  <c r="E275" i="4"/>
  <c r="B277" i="4"/>
  <c r="C276" i="4"/>
  <c r="D276" i="4" s="1"/>
  <c r="H276" i="4" s="1"/>
  <c r="E276" i="4" l="1"/>
  <c r="F276" i="4"/>
  <c r="G277" i="4" s="1"/>
  <c r="B278" i="4"/>
  <c r="C277" i="4"/>
  <c r="D277" i="4" s="1"/>
  <c r="H277" i="4" s="1"/>
  <c r="F277" i="4" l="1"/>
  <c r="G278" i="4" s="1"/>
  <c r="E277" i="4"/>
  <c r="B279" i="4"/>
  <c r="C278" i="4"/>
  <c r="D278" i="4" s="1"/>
  <c r="H278" i="4" s="1"/>
  <c r="F278" i="4" l="1"/>
  <c r="G279" i="4" s="1"/>
  <c r="E278" i="4"/>
  <c r="B280" i="4"/>
  <c r="C279" i="4"/>
  <c r="D279" i="4" s="1"/>
  <c r="H279" i="4" s="1"/>
  <c r="F279" i="4" l="1"/>
  <c r="G280" i="4" s="1"/>
  <c r="E279" i="4"/>
  <c r="B281" i="4"/>
  <c r="C280" i="4"/>
  <c r="D280" i="4" s="1"/>
  <c r="H280" i="4" s="1"/>
  <c r="F280" i="4" l="1"/>
  <c r="G281" i="4" s="1"/>
  <c r="E280" i="4"/>
  <c r="B282" i="4"/>
  <c r="C281" i="4"/>
  <c r="D281" i="4" s="1"/>
  <c r="H281" i="4" s="1"/>
  <c r="F281" i="4" l="1"/>
  <c r="G282" i="4" s="1"/>
  <c r="E281" i="4"/>
  <c r="B283" i="4"/>
  <c r="C282" i="4"/>
  <c r="D282" i="4" s="1"/>
  <c r="H282" i="4" s="1"/>
  <c r="F282" i="4" l="1"/>
  <c r="G283" i="4" s="1"/>
  <c r="E282" i="4"/>
  <c r="B284" i="4"/>
  <c r="C283" i="4"/>
  <c r="D283" i="4" s="1"/>
  <c r="H283" i="4" s="1"/>
  <c r="E283" i="4" l="1"/>
  <c r="F283" i="4"/>
  <c r="G284" i="4" s="1"/>
  <c r="B285" i="4"/>
  <c r="C284" i="4"/>
  <c r="D284" i="4" s="1"/>
  <c r="H284" i="4" s="1"/>
  <c r="E284" i="4" l="1"/>
  <c r="F284" i="4"/>
  <c r="G285" i="4" s="1"/>
  <c r="B286" i="4"/>
  <c r="C285" i="4"/>
  <c r="D285" i="4" s="1"/>
  <c r="H285" i="4" s="1"/>
  <c r="E285" i="4" l="1"/>
  <c r="F285" i="4"/>
  <c r="G286" i="4" s="1"/>
  <c r="B287" i="4"/>
  <c r="C286" i="4"/>
  <c r="D286" i="4" s="1"/>
  <c r="H286" i="4" s="1"/>
  <c r="F286" i="4" l="1"/>
  <c r="G287" i="4" s="1"/>
  <c r="E286" i="4"/>
  <c r="B288" i="4"/>
  <c r="C287" i="4"/>
  <c r="D287" i="4" s="1"/>
  <c r="H287" i="4" s="1"/>
  <c r="F287" i="4" l="1"/>
  <c r="G288" i="4" s="1"/>
  <c r="E287" i="4"/>
  <c r="B289" i="4"/>
  <c r="C288" i="4"/>
  <c r="D288" i="4" s="1"/>
  <c r="H288" i="4" s="1"/>
  <c r="F288" i="4" l="1"/>
  <c r="G289" i="4" s="1"/>
  <c r="E288" i="4"/>
  <c r="B290" i="4"/>
  <c r="C289" i="4"/>
  <c r="D289" i="4" s="1"/>
  <c r="H289" i="4" s="1"/>
  <c r="F289" i="4" l="1"/>
  <c r="G290" i="4" s="1"/>
  <c r="E289" i="4"/>
  <c r="B291" i="4"/>
  <c r="C290" i="4"/>
  <c r="D290" i="4" s="1"/>
  <c r="H290" i="4" s="1"/>
  <c r="F290" i="4" l="1"/>
  <c r="G291" i="4" s="1"/>
  <c r="E290" i="4"/>
  <c r="B292" i="4"/>
  <c r="C291" i="4"/>
  <c r="D291" i="4" s="1"/>
  <c r="H291" i="4" s="1"/>
  <c r="F291" i="4" l="1"/>
  <c r="G292" i="4" s="1"/>
  <c r="E291" i="4"/>
  <c r="B293" i="4"/>
  <c r="C292" i="4"/>
  <c r="D292" i="4" s="1"/>
  <c r="H292" i="4" s="1"/>
  <c r="B294" i="4" l="1"/>
  <c r="C293" i="4"/>
  <c r="D293" i="4" s="1"/>
  <c r="E292" i="4"/>
  <c r="F292" i="4"/>
  <c r="G293" i="4" s="1"/>
  <c r="H293" i="4" l="1"/>
  <c r="F293" i="4"/>
  <c r="G294" i="4" s="1"/>
  <c r="E293" i="4"/>
  <c r="B295" i="4"/>
  <c r="C294" i="4"/>
  <c r="D294" i="4" s="1"/>
  <c r="H294" i="4" s="1"/>
  <c r="E294" i="4" l="1"/>
  <c r="F294" i="4"/>
  <c r="G295" i="4" s="1"/>
  <c r="B296" i="4"/>
  <c r="C295" i="4"/>
  <c r="D295" i="4" s="1"/>
  <c r="H295" i="4" s="1"/>
  <c r="F295" i="4" l="1"/>
  <c r="G296" i="4" s="1"/>
  <c r="E295" i="4"/>
  <c r="B297" i="4"/>
  <c r="C296" i="4"/>
  <c r="D296" i="4" s="1"/>
  <c r="H296" i="4" s="1"/>
  <c r="F296" i="4" l="1"/>
  <c r="G297" i="4" s="1"/>
  <c r="E296" i="4"/>
  <c r="B298" i="4"/>
  <c r="C297" i="4"/>
  <c r="D297" i="4" s="1"/>
  <c r="H297" i="4" s="1"/>
  <c r="F297" i="4" l="1"/>
  <c r="G298" i="4" s="1"/>
  <c r="E297" i="4"/>
  <c r="B299" i="4"/>
  <c r="C298" i="4"/>
  <c r="D298" i="4" s="1"/>
  <c r="H298" i="4" s="1"/>
  <c r="E298" i="4" l="1"/>
  <c r="F298" i="4"/>
  <c r="G299" i="4" s="1"/>
  <c r="B300" i="4"/>
  <c r="C299" i="4"/>
  <c r="D299" i="4" s="1"/>
  <c r="H299" i="4" s="1"/>
  <c r="F299" i="4" l="1"/>
  <c r="G300" i="4" s="1"/>
  <c r="E299" i="4"/>
  <c r="B301" i="4"/>
  <c r="C300" i="4"/>
  <c r="D300" i="4" s="1"/>
  <c r="H300" i="4" s="1"/>
  <c r="E300" i="4" l="1"/>
  <c r="F300" i="4"/>
  <c r="G301" i="4" s="1"/>
  <c r="B302" i="4"/>
  <c r="C301" i="4"/>
  <c r="D301" i="4" s="1"/>
  <c r="H301" i="4" s="1"/>
  <c r="F301" i="4" l="1"/>
  <c r="G302" i="4" s="1"/>
  <c r="E301" i="4"/>
  <c r="B303" i="4"/>
  <c r="C302" i="4"/>
  <c r="D302" i="4" s="1"/>
  <c r="H302" i="4" s="1"/>
  <c r="F302" i="4" l="1"/>
  <c r="G303" i="4" s="1"/>
  <c r="E302" i="4"/>
  <c r="B304" i="4"/>
  <c r="C303" i="4"/>
  <c r="D303" i="4" s="1"/>
  <c r="H303" i="4" s="1"/>
  <c r="F303" i="4" l="1"/>
  <c r="G304" i="4" s="1"/>
  <c r="E303" i="4"/>
  <c r="B305" i="4"/>
  <c r="C304" i="4"/>
  <c r="D304" i="4" s="1"/>
  <c r="H304" i="4" s="1"/>
  <c r="E304" i="4" l="1"/>
  <c r="F304" i="4"/>
  <c r="G305" i="4" s="1"/>
  <c r="B306" i="4"/>
  <c r="C305" i="4"/>
  <c r="D305" i="4" s="1"/>
  <c r="H305" i="4" s="1"/>
  <c r="E305" i="4" l="1"/>
  <c r="F305" i="4"/>
  <c r="G306" i="4" s="1"/>
  <c r="B307" i="4"/>
  <c r="C306" i="4"/>
  <c r="D306" i="4" s="1"/>
  <c r="H306" i="4" s="1"/>
  <c r="F306" i="4" l="1"/>
  <c r="G307" i="4" s="1"/>
  <c r="E306" i="4"/>
  <c r="B308" i="4"/>
  <c r="C307" i="4"/>
  <c r="D307" i="4" s="1"/>
  <c r="H307" i="4" s="1"/>
  <c r="E307" i="4" l="1"/>
  <c r="F307" i="4"/>
  <c r="G308" i="4" s="1"/>
  <c r="B309" i="4"/>
  <c r="C308" i="4"/>
  <c r="D308" i="4" s="1"/>
  <c r="H308" i="4" s="1"/>
  <c r="E308" i="4" l="1"/>
  <c r="F308" i="4"/>
  <c r="G309" i="4" s="1"/>
  <c r="B310" i="4"/>
  <c r="C309" i="4"/>
  <c r="D309" i="4" s="1"/>
  <c r="H309" i="4" s="1"/>
  <c r="E309" i="4" l="1"/>
  <c r="F309" i="4"/>
  <c r="G310" i="4" s="1"/>
  <c r="B311" i="4"/>
  <c r="C310" i="4"/>
  <c r="D310" i="4" s="1"/>
  <c r="H310" i="4" s="1"/>
  <c r="F310" i="4" l="1"/>
  <c r="G311" i="4" s="1"/>
  <c r="E310" i="4"/>
  <c r="B312" i="4"/>
  <c r="C311" i="4"/>
  <c r="D311" i="4" s="1"/>
  <c r="H311" i="4" s="1"/>
  <c r="F311" i="4" l="1"/>
  <c r="G312" i="4" s="1"/>
  <c r="E311" i="4"/>
  <c r="B313" i="4"/>
  <c r="C312" i="4"/>
  <c r="D312" i="4" s="1"/>
  <c r="H312" i="4" s="1"/>
  <c r="F312" i="4" l="1"/>
  <c r="G313" i="4" s="1"/>
  <c r="E312" i="4"/>
  <c r="B314" i="4"/>
  <c r="C313" i="4"/>
  <c r="D313" i="4" s="1"/>
  <c r="H313" i="4" s="1"/>
  <c r="F313" i="4" l="1"/>
  <c r="G314" i="4" s="1"/>
  <c r="E313" i="4"/>
  <c r="B315" i="4"/>
  <c r="C314" i="4"/>
  <c r="D314" i="4" s="1"/>
  <c r="H314" i="4" s="1"/>
  <c r="E314" i="4" l="1"/>
  <c r="F314" i="4"/>
  <c r="G315" i="4" s="1"/>
  <c r="B316" i="4"/>
  <c r="C315" i="4"/>
  <c r="D315" i="4" s="1"/>
  <c r="H315" i="4" s="1"/>
  <c r="F315" i="4" l="1"/>
  <c r="G316" i="4" s="1"/>
  <c r="E315" i="4"/>
  <c r="B317" i="4"/>
  <c r="C316" i="4"/>
  <c r="D316" i="4" s="1"/>
  <c r="H316" i="4" l="1"/>
  <c r="E316" i="4"/>
  <c r="F316" i="4"/>
  <c r="G317" i="4" s="1"/>
  <c r="B318" i="4"/>
  <c r="C317" i="4"/>
  <c r="D317" i="4" s="1"/>
  <c r="H317" i="4" s="1"/>
  <c r="F317" i="4" l="1"/>
  <c r="G318" i="4" s="1"/>
  <c r="E317" i="4"/>
  <c r="B319" i="4"/>
  <c r="C318" i="4"/>
  <c r="D318" i="4" s="1"/>
  <c r="H318" i="4" s="1"/>
  <c r="E318" i="4" l="1"/>
  <c r="F318" i="4"/>
  <c r="G319" i="4" s="1"/>
  <c r="B320" i="4"/>
  <c r="C319" i="4"/>
  <c r="D319" i="4" s="1"/>
  <c r="H319" i="4" s="1"/>
  <c r="F319" i="4" l="1"/>
  <c r="G320" i="4" s="1"/>
  <c r="E319" i="4"/>
  <c r="B321" i="4"/>
  <c r="C320" i="4"/>
  <c r="D320" i="4" s="1"/>
  <c r="H320" i="4" s="1"/>
  <c r="E320" i="4" l="1"/>
  <c r="F320" i="4"/>
  <c r="G321" i="4" s="1"/>
  <c r="B322" i="4"/>
  <c r="C321" i="4"/>
  <c r="D321" i="4" s="1"/>
  <c r="H321" i="4" s="1"/>
  <c r="F321" i="4" l="1"/>
  <c r="G322" i="4" s="1"/>
  <c r="E321" i="4"/>
  <c r="B323" i="4"/>
  <c r="C322" i="4"/>
  <c r="D322" i="4" s="1"/>
  <c r="H322" i="4" s="1"/>
  <c r="F322" i="4" l="1"/>
  <c r="G323" i="4" s="1"/>
  <c r="E322" i="4"/>
  <c r="B324" i="4"/>
  <c r="C323" i="4"/>
  <c r="D323" i="4" s="1"/>
  <c r="H323" i="4" s="1"/>
  <c r="F323" i="4" l="1"/>
  <c r="G324" i="4" s="1"/>
  <c r="E323" i="4"/>
  <c r="B325" i="4"/>
  <c r="C324" i="4"/>
  <c r="D324" i="4" s="1"/>
  <c r="H324" i="4" s="1"/>
  <c r="E324" i="4" l="1"/>
  <c r="F324" i="4"/>
  <c r="G325" i="4" s="1"/>
  <c r="B326" i="4"/>
  <c r="C325" i="4"/>
  <c r="D325" i="4" s="1"/>
  <c r="H325" i="4" s="1"/>
  <c r="E325" i="4" l="1"/>
  <c r="F325" i="4"/>
  <c r="G326" i="4" s="1"/>
  <c r="B327" i="4"/>
  <c r="C326" i="4"/>
  <c r="D326" i="4" s="1"/>
  <c r="H326" i="4" s="1"/>
  <c r="F326" i="4" l="1"/>
  <c r="G327" i="4" s="1"/>
  <c r="E326" i="4"/>
  <c r="B328" i="4"/>
  <c r="C327" i="4"/>
  <c r="D327" i="4" s="1"/>
  <c r="H327" i="4" s="1"/>
  <c r="F327" i="4" l="1"/>
  <c r="G328" i="4" s="1"/>
  <c r="E327" i="4"/>
  <c r="B329" i="4"/>
  <c r="C328" i="4"/>
  <c r="D328" i="4" s="1"/>
  <c r="H328" i="4" s="1"/>
  <c r="F328" i="4" l="1"/>
  <c r="G329" i="4" s="1"/>
  <c r="E328" i="4"/>
  <c r="B330" i="4"/>
  <c r="C329" i="4"/>
  <c r="D329" i="4" s="1"/>
  <c r="H329" i="4" s="1"/>
  <c r="E329" i="4" l="1"/>
  <c r="F329" i="4"/>
  <c r="G330" i="4" s="1"/>
  <c r="B331" i="4"/>
  <c r="C330" i="4"/>
  <c r="D330" i="4" s="1"/>
  <c r="H330" i="4" s="1"/>
  <c r="F330" i="4" l="1"/>
  <c r="G331" i="4" s="1"/>
  <c r="E330" i="4"/>
  <c r="B332" i="4"/>
  <c r="C331" i="4"/>
  <c r="D331" i="4" s="1"/>
  <c r="H331" i="4" s="1"/>
  <c r="F331" i="4" l="1"/>
  <c r="G332" i="4" s="1"/>
  <c r="E331" i="4"/>
  <c r="B333" i="4"/>
  <c r="C332" i="4"/>
  <c r="D332" i="4" s="1"/>
  <c r="H332" i="4" s="1"/>
  <c r="E332" i="4" l="1"/>
  <c r="F332" i="4"/>
  <c r="G333" i="4" s="1"/>
  <c r="B334" i="4"/>
  <c r="C333" i="4"/>
  <c r="D333" i="4" s="1"/>
  <c r="H333" i="4" s="1"/>
  <c r="F333" i="4" l="1"/>
  <c r="G334" i="4" s="1"/>
  <c r="E333" i="4"/>
  <c r="B335" i="4"/>
  <c r="C334" i="4"/>
  <c r="D334" i="4" s="1"/>
  <c r="H334" i="4" s="1"/>
  <c r="F334" i="4" l="1"/>
  <c r="G335" i="4" s="1"/>
  <c r="E334" i="4"/>
  <c r="B336" i="4"/>
  <c r="C335" i="4"/>
  <c r="D335" i="4" s="1"/>
  <c r="H335" i="4" s="1"/>
  <c r="F335" i="4" l="1"/>
  <c r="G336" i="4" s="1"/>
  <c r="E335" i="4"/>
  <c r="B337" i="4"/>
  <c r="C336" i="4"/>
  <c r="D336" i="4" s="1"/>
  <c r="H336" i="4" s="1"/>
  <c r="E336" i="4" l="1"/>
  <c r="F336" i="4"/>
  <c r="G337" i="4" s="1"/>
  <c r="B338" i="4"/>
  <c r="C337" i="4"/>
  <c r="D337" i="4" s="1"/>
  <c r="H337" i="4" s="1"/>
  <c r="F337" i="4" l="1"/>
  <c r="G338" i="4" s="1"/>
  <c r="E337" i="4"/>
  <c r="B339" i="4"/>
  <c r="C338" i="4"/>
  <c r="D338" i="4" s="1"/>
  <c r="H338" i="4" s="1"/>
  <c r="F338" i="4" l="1"/>
  <c r="G339" i="4" s="1"/>
  <c r="E338" i="4"/>
  <c r="B340" i="4"/>
  <c r="C339" i="4"/>
  <c r="D339" i="4" s="1"/>
  <c r="H339" i="4" s="1"/>
  <c r="F339" i="4" l="1"/>
  <c r="G340" i="4" s="1"/>
  <c r="E339" i="4"/>
  <c r="B341" i="4"/>
  <c r="C340" i="4"/>
  <c r="D340" i="4" s="1"/>
  <c r="H340" i="4" s="1"/>
  <c r="E340" i="4" l="1"/>
  <c r="F340" i="4"/>
  <c r="G341" i="4" s="1"/>
  <c r="B342" i="4"/>
  <c r="C341" i="4"/>
  <c r="D341" i="4" s="1"/>
  <c r="H341" i="4" s="1"/>
  <c r="F341" i="4" l="1"/>
  <c r="G342" i="4" s="1"/>
  <c r="E341" i="4"/>
  <c r="B343" i="4"/>
  <c r="C342" i="4"/>
  <c r="D342" i="4" s="1"/>
  <c r="H342" i="4" s="1"/>
  <c r="F342" i="4" l="1"/>
  <c r="G343" i="4" s="1"/>
  <c r="E342" i="4"/>
  <c r="B344" i="4"/>
  <c r="C343" i="4"/>
  <c r="D343" i="4" s="1"/>
  <c r="H343" i="4" s="1"/>
  <c r="F343" i="4" l="1"/>
  <c r="G344" i="4" s="1"/>
  <c r="E343" i="4"/>
  <c r="B345" i="4"/>
  <c r="C344" i="4"/>
  <c r="D344" i="4" s="1"/>
  <c r="H344" i="4" s="1"/>
  <c r="E344" i="4" l="1"/>
  <c r="F344" i="4"/>
  <c r="G345" i="4" s="1"/>
  <c r="B346" i="4"/>
  <c r="C345" i="4"/>
  <c r="D345" i="4" s="1"/>
  <c r="H345" i="4" s="1"/>
  <c r="F345" i="4" l="1"/>
  <c r="G346" i="4" s="1"/>
  <c r="E345" i="4"/>
  <c r="B347" i="4"/>
  <c r="C346" i="4"/>
  <c r="D346" i="4" s="1"/>
  <c r="H346" i="4" s="1"/>
  <c r="E346" i="4" l="1"/>
  <c r="F346" i="4"/>
  <c r="G347" i="4" s="1"/>
  <c r="B348" i="4"/>
  <c r="C347" i="4"/>
  <c r="D347" i="4" s="1"/>
  <c r="H347" i="4" s="1"/>
  <c r="E347" i="4" l="1"/>
  <c r="F347" i="4"/>
  <c r="G348" i="4" s="1"/>
  <c r="B349" i="4"/>
  <c r="C348" i="4"/>
  <c r="D348" i="4" s="1"/>
  <c r="H348" i="4" s="1"/>
  <c r="F348" i="4" l="1"/>
  <c r="G349" i="4" s="1"/>
  <c r="E348" i="4"/>
  <c r="B350" i="4"/>
  <c r="C349" i="4"/>
  <c r="D349" i="4" s="1"/>
  <c r="H349" i="4" s="1"/>
  <c r="B351" i="4" l="1"/>
  <c r="C350" i="4"/>
  <c r="D350" i="4" s="1"/>
  <c r="E349" i="4"/>
  <c r="F349" i="4"/>
  <c r="G350" i="4" s="1"/>
  <c r="H350" i="4" l="1"/>
  <c r="F350" i="4"/>
  <c r="G351" i="4" s="1"/>
  <c r="E350" i="4"/>
  <c r="B352" i="4"/>
  <c r="C351" i="4"/>
  <c r="D351" i="4" s="1"/>
  <c r="H351" i="4" s="1"/>
  <c r="F351" i="4" l="1"/>
  <c r="G352" i="4" s="1"/>
  <c r="E351" i="4"/>
  <c r="B353" i="4"/>
  <c r="C352" i="4"/>
  <c r="D352" i="4" s="1"/>
  <c r="H352" i="4" s="1"/>
  <c r="F352" i="4" l="1"/>
  <c r="G353" i="4" s="1"/>
  <c r="E352" i="4"/>
  <c r="B354" i="4"/>
  <c r="C353" i="4"/>
  <c r="D353" i="4" s="1"/>
  <c r="H353" i="4" s="1"/>
  <c r="E353" i="4" l="1"/>
  <c r="F353" i="4"/>
  <c r="G354" i="4" s="1"/>
  <c r="B355" i="4"/>
  <c r="C354" i="4"/>
  <c r="D354" i="4" s="1"/>
  <c r="H354" i="4" s="1"/>
  <c r="F354" i="4" l="1"/>
  <c r="G355" i="4" s="1"/>
  <c r="E354" i="4"/>
  <c r="B356" i="4"/>
  <c r="C355" i="4"/>
  <c r="D355" i="4" s="1"/>
  <c r="H355" i="4" s="1"/>
  <c r="F355" i="4" l="1"/>
  <c r="G356" i="4" s="1"/>
  <c r="E355" i="4"/>
  <c r="B357" i="4"/>
  <c r="C356" i="4"/>
  <c r="D356" i="4" s="1"/>
  <c r="H356" i="4" s="1"/>
  <c r="F356" i="4" l="1"/>
  <c r="G357" i="4" s="1"/>
  <c r="E356" i="4"/>
  <c r="B358" i="4"/>
  <c r="C357" i="4"/>
  <c r="D357" i="4" s="1"/>
  <c r="H357" i="4" s="1"/>
  <c r="B359" i="4" l="1"/>
  <c r="C358" i="4"/>
  <c r="D358" i="4" s="1"/>
  <c r="F357" i="4"/>
  <c r="G358" i="4" s="1"/>
  <c r="E357" i="4"/>
  <c r="H358" i="4" l="1"/>
  <c r="F358" i="4"/>
  <c r="G359" i="4" s="1"/>
  <c r="E358" i="4"/>
  <c r="B360" i="4"/>
  <c r="C359" i="4"/>
  <c r="D359" i="4" s="1"/>
  <c r="H359" i="4" s="1"/>
  <c r="F359" i="4" l="1"/>
  <c r="G360" i="4" s="1"/>
  <c r="E359" i="4"/>
  <c r="B361" i="4"/>
  <c r="C360" i="4"/>
  <c r="D360" i="4" s="1"/>
  <c r="H360" i="4" s="1"/>
  <c r="F360" i="4" l="1"/>
  <c r="G361" i="4" s="1"/>
  <c r="E360" i="4"/>
  <c r="B362" i="4"/>
  <c r="C361" i="4"/>
  <c r="D361" i="4" s="1"/>
  <c r="H361" i="4" s="1"/>
  <c r="E361" i="4" l="1"/>
  <c r="F361" i="4"/>
  <c r="G362" i="4" s="1"/>
  <c r="B363" i="4"/>
  <c r="C362" i="4"/>
  <c r="D362" i="4" s="1"/>
  <c r="H362" i="4" s="1"/>
  <c r="F362" i="4" l="1"/>
  <c r="G363" i="4" s="1"/>
  <c r="E362" i="4"/>
  <c r="B364" i="4"/>
  <c r="C363" i="4"/>
  <c r="D363" i="4" s="1"/>
  <c r="H363" i="4" s="1"/>
  <c r="F363" i="4" l="1"/>
  <c r="G364" i="4" s="1"/>
  <c r="E363" i="4"/>
  <c r="B365" i="4"/>
  <c r="C364" i="4"/>
  <c r="D364" i="4" s="1"/>
  <c r="H364" i="4" s="1"/>
  <c r="F364" i="4" l="1"/>
  <c r="G365" i="4" s="1"/>
  <c r="E364" i="4"/>
  <c r="B366" i="4"/>
  <c r="C365" i="4"/>
  <c r="D365" i="4" s="1"/>
  <c r="H365" i="4" s="1"/>
  <c r="F365" i="4" l="1"/>
  <c r="G366" i="4" s="1"/>
  <c r="E365" i="4"/>
  <c r="B367" i="4"/>
  <c r="C366" i="4"/>
  <c r="D366" i="4" s="1"/>
  <c r="H366" i="4" s="1"/>
  <c r="F366" i="4" l="1"/>
  <c r="G367" i="4" s="1"/>
  <c r="E366" i="4"/>
  <c r="B368" i="4"/>
  <c r="C367" i="4"/>
  <c r="D367" i="4" s="1"/>
  <c r="H367" i="4" s="1"/>
  <c r="F367" i="4" l="1"/>
  <c r="G368" i="4" s="1"/>
  <c r="E367" i="4"/>
  <c r="B369" i="4"/>
  <c r="C368" i="4"/>
  <c r="D368" i="4" s="1"/>
  <c r="H368" i="4" s="1"/>
  <c r="B370" i="4" l="1"/>
  <c r="C370" i="4" s="1"/>
  <c r="D370" i="4" s="1"/>
  <c r="C369" i="4"/>
  <c r="D369" i="4" s="1"/>
  <c r="F368" i="4"/>
  <c r="G369" i="4" s="1"/>
  <c r="E368" i="4"/>
  <c r="H369" i="4" l="1"/>
  <c r="E369" i="4"/>
  <c r="F369" i="4"/>
  <c r="G370" i="4" s="1"/>
  <c r="H370" i="4" s="1"/>
  <c r="F370" i="4"/>
  <c r="E370" i="4"/>
  <c r="E2" i="4" s="1"/>
</calcChain>
</file>

<file path=xl/sharedStrings.xml><?xml version="1.0" encoding="utf-8"?>
<sst xmlns="http://schemas.openxmlformats.org/spreadsheetml/2006/main" count="68" uniqueCount="34">
  <si>
    <t>Temperature</t>
  </si>
  <si>
    <t xml:space="preserve">Solar </t>
  </si>
  <si>
    <t>Stest</t>
  </si>
  <si>
    <t>Str</t>
  </si>
  <si>
    <t>TTrain</t>
  </si>
  <si>
    <t>Ttest</t>
  </si>
  <si>
    <t>Time</t>
  </si>
  <si>
    <t>Mean</t>
  </si>
  <si>
    <t>Model</t>
  </si>
  <si>
    <t>OLS</t>
  </si>
  <si>
    <t>SSQ</t>
  </si>
  <si>
    <t>Residuals</t>
  </si>
  <si>
    <t>ResMod</t>
  </si>
  <si>
    <t>Final</t>
  </si>
  <si>
    <t>Zt</t>
  </si>
  <si>
    <t>MBE</t>
  </si>
  <si>
    <t>Abs(Zt)</t>
  </si>
  <si>
    <t>MAE</t>
  </si>
  <si>
    <t>NMBE</t>
  </si>
  <si>
    <t>NMAE</t>
  </si>
  <si>
    <t>FSModel</t>
  </si>
  <si>
    <t>Res</t>
  </si>
  <si>
    <t>Mean of Data</t>
  </si>
  <si>
    <t>Final Estimates of Parameters</t>
  </si>
  <si>
    <t>Type</t>
  </si>
  <si>
    <t>Coef</t>
  </si>
  <si>
    <t>SE Coef</t>
  </si>
  <si>
    <t>T-Value</t>
  </si>
  <si>
    <t>P-Value</t>
  </si>
  <si>
    <t>AR   1</t>
  </si>
  <si>
    <t>AR   2</t>
  </si>
  <si>
    <t>AR   3</t>
  </si>
  <si>
    <t>Fin</t>
  </si>
  <si>
    <t>ABS(Zt)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</si>
</sst>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Solar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Sheet1!$A$2:$A$731</c:f>
              <c:numCache>
                <c:formatCode>General</c:formatCode>
                <c:ptCount val="730"/>
                <c:pt idx="0">
                  <c:v>7.9820000000000002</c:v>
                </c:pt>
                <c:pt idx="1">
                  <c:v>7.46</c:v>
                </c:pt>
                <c:pt idx="2">
                  <c:v>7.7919999999999998</c:v>
                </c:pt>
                <c:pt idx="3">
                  <c:v>8.4160000000000004</c:v>
                </c:pt>
                <c:pt idx="4">
                  <c:v>8.35</c:v>
                </c:pt>
                <c:pt idx="5">
                  <c:v>7.4580000000000002</c:v>
                </c:pt>
                <c:pt idx="6">
                  <c:v>8.3699999999999992</c:v>
                </c:pt>
                <c:pt idx="7">
                  <c:v>8.4</c:v>
                </c:pt>
                <c:pt idx="8">
                  <c:v>8.1720000000000006</c:v>
                </c:pt>
                <c:pt idx="9">
                  <c:v>8.3000000000000007</c:v>
                </c:pt>
                <c:pt idx="10">
                  <c:v>8.0879999999999992</c:v>
                </c:pt>
                <c:pt idx="11">
                  <c:v>7.1719999999999997</c:v>
                </c:pt>
                <c:pt idx="12">
                  <c:v>3.82</c:v>
                </c:pt>
                <c:pt idx="13">
                  <c:v>7.28</c:v>
                </c:pt>
                <c:pt idx="14">
                  <c:v>7.0640000000000001</c:v>
                </c:pt>
                <c:pt idx="15">
                  <c:v>7.5919999999999996</c:v>
                </c:pt>
                <c:pt idx="16">
                  <c:v>8.2159999999999993</c:v>
                </c:pt>
                <c:pt idx="17">
                  <c:v>8.14</c:v>
                </c:pt>
                <c:pt idx="18">
                  <c:v>7.8620000000000001</c:v>
                </c:pt>
                <c:pt idx="19">
                  <c:v>8.0299999999999994</c:v>
                </c:pt>
                <c:pt idx="20">
                  <c:v>2.044</c:v>
                </c:pt>
                <c:pt idx="21">
                  <c:v>7.1980000000000004</c:v>
                </c:pt>
                <c:pt idx="22">
                  <c:v>4.4539999999999997</c:v>
                </c:pt>
                <c:pt idx="23">
                  <c:v>3.194</c:v>
                </c:pt>
                <c:pt idx="24">
                  <c:v>6.4740000000000002</c:v>
                </c:pt>
                <c:pt idx="25">
                  <c:v>7.8659999999999997</c:v>
                </c:pt>
                <c:pt idx="26">
                  <c:v>7.98</c:v>
                </c:pt>
                <c:pt idx="27">
                  <c:v>7.532</c:v>
                </c:pt>
                <c:pt idx="28">
                  <c:v>6.95</c:v>
                </c:pt>
                <c:pt idx="29">
                  <c:v>7.8819999999999997</c:v>
                </c:pt>
                <c:pt idx="30">
                  <c:v>7.76</c:v>
                </c:pt>
                <c:pt idx="31">
                  <c:v>7.7380000000000004</c:v>
                </c:pt>
                <c:pt idx="32">
                  <c:v>7.85</c:v>
                </c:pt>
                <c:pt idx="33">
                  <c:v>7.766</c:v>
                </c:pt>
                <c:pt idx="34">
                  <c:v>7.484</c:v>
                </c:pt>
                <c:pt idx="35">
                  <c:v>7.66</c:v>
                </c:pt>
                <c:pt idx="36">
                  <c:v>7.6740000000000004</c:v>
                </c:pt>
                <c:pt idx="37">
                  <c:v>6.508</c:v>
                </c:pt>
                <c:pt idx="38">
                  <c:v>7.5620000000000003</c:v>
                </c:pt>
                <c:pt idx="39">
                  <c:v>7.5940000000000003</c:v>
                </c:pt>
                <c:pt idx="40">
                  <c:v>7.5640000000000001</c:v>
                </c:pt>
                <c:pt idx="41">
                  <c:v>7.3259999999999996</c:v>
                </c:pt>
                <c:pt idx="42">
                  <c:v>5.41</c:v>
                </c:pt>
                <c:pt idx="43">
                  <c:v>3.6019999999999999</c:v>
                </c:pt>
                <c:pt idx="44">
                  <c:v>5.61</c:v>
                </c:pt>
                <c:pt idx="45">
                  <c:v>6.5640000000000001</c:v>
                </c:pt>
                <c:pt idx="46">
                  <c:v>6.2119999999999997</c:v>
                </c:pt>
                <c:pt idx="47">
                  <c:v>7.19</c:v>
                </c:pt>
                <c:pt idx="48">
                  <c:v>7.1580000000000004</c:v>
                </c:pt>
                <c:pt idx="49">
                  <c:v>7.258</c:v>
                </c:pt>
                <c:pt idx="50">
                  <c:v>5.37</c:v>
                </c:pt>
                <c:pt idx="51">
                  <c:v>3.71</c:v>
                </c:pt>
                <c:pt idx="52">
                  <c:v>5.2519999999999998</c:v>
                </c:pt>
                <c:pt idx="53">
                  <c:v>1.8</c:v>
                </c:pt>
                <c:pt idx="54">
                  <c:v>4.5839999999999996</c:v>
                </c:pt>
                <c:pt idx="55">
                  <c:v>6.2759999999999998</c:v>
                </c:pt>
                <c:pt idx="56">
                  <c:v>6.8920000000000003</c:v>
                </c:pt>
                <c:pt idx="57">
                  <c:v>5.9740000000000002</c:v>
                </c:pt>
                <c:pt idx="58">
                  <c:v>6.8760000000000003</c:v>
                </c:pt>
                <c:pt idx="59">
                  <c:v>5.1680000000000001</c:v>
                </c:pt>
                <c:pt idx="60">
                  <c:v>6.1520000000000001</c:v>
                </c:pt>
                <c:pt idx="61">
                  <c:v>6.5839999999999996</c:v>
                </c:pt>
                <c:pt idx="62">
                  <c:v>5.3780000000000001</c:v>
                </c:pt>
                <c:pt idx="63">
                  <c:v>6.4720000000000004</c:v>
                </c:pt>
                <c:pt idx="64">
                  <c:v>5.202</c:v>
                </c:pt>
                <c:pt idx="65">
                  <c:v>6.1859999999999999</c:v>
                </c:pt>
                <c:pt idx="66">
                  <c:v>5.5119999999999996</c:v>
                </c:pt>
                <c:pt idx="67">
                  <c:v>1.6479999999999999</c:v>
                </c:pt>
                <c:pt idx="68">
                  <c:v>5.2919999999999998</c:v>
                </c:pt>
                <c:pt idx="69">
                  <c:v>6.2380000000000004</c:v>
                </c:pt>
                <c:pt idx="70">
                  <c:v>6.2720000000000002</c:v>
                </c:pt>
                <c:pt idx="71">
                  <c:v>6.2119999999999997</c:v>
                </c:pt>
                <c:pt idx="72">
                  <c:v>6.1920000000000002</c:v>
                </c:pt>
                <c:pt idx="73">
                  <c:v>6.1680000000000001</c:v>
                </c:pt>
                <c:pt idx="74">
                  <c:v>6.1260000000000003</c:v>
                </c:pt>
                <c:pt idx="75">
                  <c:v>5.5880000000000001</c:v>
                </c:pt>
                <c:pt idx="76">
                  <c:v>3.6859999999999999</c:v>
                </c:pt>
                <c:pt idx="77">
                  <c:v>5.8460000000000001</c:v>
                </c:pt>
                <c:pt idx="78">
                  <c:v>5.81</c:v>
                </c:pt>
                <c:pt idx="79">
                  <c:v>5.3760000000000003</c:v>
                </c:pt>
                <c:pt idx="80">
                  <c:v>4.8099999999999996</c:v>
                </c:pt>
                <c:pt idx="81">
                  <c:v>4.3739999999999997</c:v>
                </c:pt>
                <c:pt idx="82">
                  <c:v>2.95</c:v>
                </c:pt>
                <c:pt idx="83">
                  <c:v>5.242</c:v>
                </c:pt>
                <c:pt idx="84">
                  <c:v>5.4039999999999999</c:v>
                </c:pt>
                <c:pt idx="85">
                  <c:v>5.4320000000000004</c:v>
                </c:pt>
                <c:pt idx="86">
                  <c:v>5.4080000000000004</c:v>
                </c:pt>
                <c:pt idx="87">
                  <c:v>2.214</c:v>
                </c:pt>
                <c:pt idx="88">
                  <c:v>1.3919999999999999</c:v>
                </c:pt>
                <c:pt idx="89">
                  <c:v>5.3959999999999999</c:v>
                </c:pt>
                <c:pt idx="90">
                  <c:v>5.3339999999999996</c:v>
                </c:pt>
                <c:pt idx="91">
                  <c:v>5.1340000000000003</c:v>
                </c:pt>
                <c:pt idx="92">
                  <c:v>5.2640000000000002</c:v>
                </c:pt>
                <c:pt idx="93">
                  <c:v>3.73</c:v>
                </c:pt>
                <c:pt idx="94">
                  <c:v>3.8180000000000001</c:v>
                </c:pt>
                <c:pt idx="95">
                  <c:v>4.3659999999999997</c:v>
                </c:pt>
                <c:pt idx="96">
                  <c:v>3.3119999999999998</c:v>
                </c:pt>
                <c:pt idx="97">
                  <c:v>4.58</c:v>
                </c:pt>
                <c:pt idx="98">
                  <c:v>3.516</c:v>
                </c:pt>
                <c:pt idx="99">
                  <c:v>4.9539999999999997</c:v>
                </c:pt>
                <c:pt idx="100">
                  <c:v>4.7</c:v>
                </c:pt>
                <c:pt idx="101">
                  <c:v>2.218</c:v>
                </c:pt>
                <c:pt idx="102">
                  <c:v>2.2679999999999998</c:v>
                </c:pt>
                <c:pt idx="103">
                  <c:v>3.6880000000000002</c:v>
                </c:pt>
                <c:pt idx="104">
                  <c:v>4.5999999999999996</c:v>
                </c:pt>
                <c:pt idx="105">
                  <c:v>3.742</c:v>
                </c:pt>
                <c:pt idx="106">
                  <c:v>4.4800000000000004</c:v>
                </c:pt>
                <c:pt idx="107">
                  <c:v>4.0519999999999996</c:v>
                </c:pt>
                <c:pt idx="108">
                  <c:v>3.0840000000000001</c:v>
                </c:pt>
                <c:pt idx="109">
                  <c:v>4.03</c:v>
                </c:pt>
                <c:pt idx="110">
                  <c:v>2.1150000000000002</c:v>
                </c:pt>
                <c:pt idx="111">
                  <c:v>4.2300000000000004</c:v>
                </c:pt>
                <c:pt idx="112">
                  <c:v>4.3609999999999998</c:v>
                </c:pt>
                <c:pt idx="113">
                  <c:v>4.0960000000000001</c:v>
                </c:pt>
                <c:pt idx="114">
                  <c:v>2.262</c:v>
                </c:pt>
                <c:pt idx="115">
                  <c:v>4.2750000000000004</c:v>
                </c:pt>
                <c:pt idx="116">
                  <c:v>4.2350000000000003</c:v>
                </c:pt>
                <c:pt idx="117">
                  <c:v>4.1449999999999996</c:v>
                </c:pt>
                <c:pt idx="118">
                  <c:v>3.3380000000000001</c:v>
                </c:pt>
                <c:pt idx="119">
                  <c:v>4.0369999999999999</c:v>
                </c:pt>
                <c:pt idx="120">
                  <c:v>4.0679999999999996</c:v>
                </c:pt>
                <c:pt idx="121">
                  <c:v>3.9809999999999999</c:v>
                </c:pt>
                <c:pt idx="122">
                  <c:v>3.585</c:v>
                </c:pt>
                <c:pt idx="123">
                  <c:v>3.3069999999999999</c:v>
                </c:pt>
                <c:pt idx="124">
                  <c:v>3.0339999999999998</c:v>
                </c:pt>
                <c:pt idx="125">
                  <c:v>2.6349999999999998</c:v>
                </c:pt>
                <c:pt idx="126">
                  <c:v>3.754</c:v>
                </c:pt>
                <c:pt idx="127">
                  <c:v>3.633</c:v>
                </c:pt>
                <c:pt idx="128">
                  <c:v>3.6920000000000002</c:v>
                </c:pt>
                <c:pt idx="129">
                  <c:v>3.5750000000000002</c:v>
                </c:pt>
                <c:pt idx="130">
                  <c:v>1.38</c:v>
                </c:pt>
                <c:pt idx="131">
                  <c:v>3.5169999999999999</c:v>
                </c:pt>
                <c:pt idx="132">
                  <c:v>2.202</c:v>
                </c:pt>
                <c:pt idx="133">
                  <c:v>3.2629999999999999</c:v>
                </c:pt>
                <c:pt idx="134">
                  <c:v>3.2509999999999999</c:v>
                </c:pt>
                <c:pt idx="135">
                  <c:v>3.5179999999999998</c:v>
                </c:pt>
                <c:pt idx="136">
                  <c:v>3.2170000000000001</c:v>
                </c:pt>
                <c:pt idx="137">
                  <c:v>2.2400000000000002</c:v>
                </c:pt>
                <c:pt idx="138">
                  <c:v>2.968</c:v>
                </c:pt>
                <c:pt idx="139">
                  <c:v>3.29</c:v>
                </c:pt>
                <c:pt idx="140">
                  <c:v>3.3740000000000001</c:v>
                </c:pt>
                <c:pt idx="141">
                  <c:v>3.1840000000000002</c:v>
                </c:pt>
                <c:pt idx="142">
                  <c:v>3.1760000000000002</c:v>
                </c:pt>
                <c:pt idx="143">
                  <c:v>3.0390000000000001</c:v>
                </c:pt>
                <c:pt idx="144">
                  <c:v>2.665</c:v>
                </c:pt>
                <c:pt idx="145">
                  <c:v>3.28</c:v>
                </c:pt>
                <c:pt idx="146">
                  <c:v>2.8660000000000001</c:v>
                </c:pt>
                <c:pt idx="147">
                  <c:v>2.1280000000000001</c:v>
                </c:pt>
                <c:pt idx="148">
                  <c:v>1.131</c:v>
                </c:pt>
                <c:pt idx="149">
                  <c:v>3.141</c:v>
                </c:pt>
                <c:pt idx="150">
                  <c:v>2.1179999999999999</c:v>
                </c:pt>
                <c:pt idx="151">
                  <c:v>1.7889999999999999</c:v>
                </c:pt>
                <c:pt idx="152">
                  <c:v>2.84</c:v>
                </c:pt>
                <c:pt idx="153">
                  <c:v>2.952</c:v>
                </c:pt>
                <c:pt idx="154">
                  <c:v>3.02</c:v>
                </c:pt>
                <c:pt idx="155">
                  <c:v>3.1160000000000001</c:v>
                </c:pt>
                <c:pt idx="156">
                  <c:v>3.04</c:v>
                </c:pt>
                <c:pt idx="157">
                  <c:v>3.0979999999999999</c:v>
                </c:pt>
                <c:pt idx="158">
                  <c:v>2.7210000000000001</c:v>
                </c:pt>
                <c:pt idx="159">
                  <c:v>1.111</c:v>
                </c:pt>
                <c:pt idx="160">
                  <c:v>2.911</c:v>
                </c:pt>
                <c:pt idx="161">
                  <c:v>2.7749999999999999</c:v>
                </c:pt>
                <c:pt idx="162">
                  <c:v>2.536</c:v>
                </c:pt>
                <c:pt idx="163">
                  <c:v>1.992</c:v>
                </c:pt>
                <c:pt idx="164">
                  <c:v>2.3319999999999999</c:v>
                </c:pt>
                <c:pt idx="165">
                  <c:v>2.8879999999999999</c:v>
                </c:pt>
                <c:pt idx="166">
                  <c:v>2.802</c:v>
                </c:pt>
                <c:pt idx="167">
                  <c:v>2.496</c:v>
                </c:pt>
                <c:pt idx="168">
                  <c:v>2.3359999999999999</c:v>
                </c:pt>
                <c:pt idx="169">
                  <c:v>2.3839999999999999</c:v>
                </c:pt>
                <c:pt idx="170">
                  <c:v>2.8479999999999999</c:v>
                </c:pt>
                <c:pt idx="171">
                  <c:v>2.72</c:v>
                </c:pt>
                <c:pt idx="172">
                  <c:v>2.802</c:v>
                </c:pt>
                <c:pt idx="173">
                  <c:v>2.044</c:v>
                </c:pt>
                <c:pt idx="174">
                  <c:v>1.79</c:v>
                </c:pt>
                <c:pt idx="175">
                  <c:v>1.8480000000000001</c:v>
                </c:pt>
                <c:pt idx="176">
                  <c:v>2.8959999999999999</c:v>
                </c:pt>
                <c:pt idx="177">
                  <c:v>2.9540000000000002</c:v>
                </c:pt>
                <c:pt idx="178">
                  <c:v>3.016</c:v>
                </c:pt>
                <c:pt idx="179">
                  <c:v>1.6719999999999999</c:v>
                </c:pt>
                <c:pt idx="180">
                  <c:v>1.64</c:v>
                </c:pt>
                <c:pt idx="181">
                  <c:v>2.302</c:v>
                </c:pt>
                <c:pt idx="182">
                  <c:v>1.6120000000000001</c:v>
                </c:pt>
                <c:pt idx="183">
                  <c:v>2.3140000000000001</c:v>
                </c:pt>
                <c:pt idx="184">
                  <c:v>2.44</c:v>
                </c:pt>
                <c:pt idx="185">
                  <c:v>1.732</c:v>
                </c:pt>
                <c:pt idx="186">
                  <c:v>2.7480000000000002</c:v>
                </c:pt>
                <c:pt idx="187">
                  <c:v>3.06</c:v>
                </c:pt>
                <c:pt idx="188">
                  <c:v>2.3159999999999998</c:v>
                </c:pt>
                <c:pt idx="189">
                  <c:v>1.788</c:v>
                </c:pt>
                <c:pt idx="190">
                  <c:v>2.7080000000000002</c:v>
                </c:pt>
                <c:pt idx="191">
                  <c:v>2.802</c:v>
                </c:pt>
                <c:pt idx="192">
                  <c:v>2.2959999999999998</c:v>
                </c:pt>
                <c:pt idx="193">
                  <c:v>1.946</c:v>
                </c:pt>
                <c:pt idx="194">
                  <c:v>2.73</c:v>
                </c:pt>
                <c:pt idx="195">
                  <c:v>2.73</c:v>
                </c:pt>
                <c:pt idx="196">
                  <c:v>1.294</c:v>
                </c:pt>
                <c:pt idx="197">
                  <c:v>2.048</c:v>
                </c:pt>
                <c:pt idx="198">
                  <c:v>1.968</c:v>
                </c:pt>
                <c:pt idx="199">
                  <c:v>1.9159999999999999</c:v>
                </c:pt>
                <c:pt idx="200">
                  <c:v>3.206</c:v>
                </c:pt>
                <c:pt idx="201">
                  <c:v>2.7280000000000002</c:v>
                </c:pt>
                <c:pt idx="202">
                  <c:v>2.99</c:v>
                </c:pt>
                <c:pt idx="203">
                  <c:v>3.05</c:v>
                </c:pt>
                <c:pt idx="204">
                  <c:v>3.0459999999999998</c:v>
                </c:pt>
                <c:pt idx="205">
                  <c:v>3.036</c:v>
                </c:pt>
                <c:pt idx="206">
                  <c:v>2.9820000000000002</c:v>
                </c:pt>
                <c:pt idx="207">
                  <c:v>3.3479999999999999</c:v>
                </c:pt>
                <c:pt idx="208">
                  <c:v>1.47</c:v>
                </c:pt>
                <c:pt idx="209">
                  <c:v>3.0920000000000001</c:v>
                </c:pt>
                <c:pt idx="210">
                  <c:v>2.1960000000000002</c:v>
                </c:pt>
                <c:pt idx="211">
                  <c:v>3.0760000000000001</c:v>
                </c:pt>
                <c:pt idx="212">
                  <c:v>3.242</c:v>
                </c:pt>
                <c:pt idx="213">
                  <c:v>2.6739999999999999</c:v>
                </c:pt>
                <c:pt idx="214">
                  <c:v>2.5259999999999998</c:v>
                </c:pt>
                <c:pt idx="215">
                  <c:v>2.6219999999999999</c:v>
                </c:pt>
                <c:pt idx="216">
                  <c:v>3.6240000000000001</c:v>
                </c:pt>
                <c:pt idx="217">
                  <c:v>3.802</c:v>
                </c:pt>
                <c:pt idx="218">
                  <c:v>3.43</c:v>
                </c:pt>
                <c:pt idx="219">
                  <c:v>3.56</c:v>
                </c:pt>
                <c:pt idx="220">
                  <c:v>1.1120000000000001</c:v>
                </c:pt>
                <c:pt idx="221">
                  <c:v>3.484</c:v>
                </c:pt>
                <c:pt idx="222">
                  <c:v>2.75</c:v>
                </c:pt>
                <c:pt idx="223">
                  <c:v>1.1120000000000001</c:v>
                </c:pt>
                <c:pt idx="224">
                  <c:v>3.5880000000000001</c:v>
                </c:pt>
                <c:pt idx="225">
                  <c:v>3.09</c:v>
                </c:pt>
                <c:pt idx="226">
                  <c:v>2.504</c:v>
                </c:pt>
                <c:pt idx="227">
                  <c:v>4.1100000000000003</c:v>
                </c:pt>
                <c:pt idx="228">
                  <c:v>3.8460000000000001</c:v>
                </c:pt>
                <c:pt idx="229">
                  <c:v>1.1120000000000001</c:v>
                </c:pt>
                <c:pt idx="230">
                  <c:v>2.35</c:v>
                </c:pt>
                <c:pt idx="231">
                  <c:v>4.0720000000000001</c:v>
                </c:pt>
                <c:pt idx="232">
                  <c:v>4.2759999999999998</c:v>
                </c:pt>
                <c:pt idx="233">
                  <c:v>3.6240000000000001</c:v>
                </c:pt>
                <c:pt idx="234">
                  <c:v>3.7120000000000002</c:v>
                </c:pt>
                <c:pt idx="235">
                  <c:v>3.556</c:v>
                </c:pt>
                <c:pt idx="236">
                  <c:v>4.5119999999999996</c:v>
                </c:pt>
                <c:pt idx="237">
                  <c:v>2.444</c:v>
                </c:pt>
                <c:pt idx="238">
                  <c:v>4.29</c:v>
                </c:pt>
                <c:pt idx="239">
                  <c:v>4.3120000000000003</c:v>
                </c:pt>
                <c:pt idx="240">
                  <c:v>3.2719999999999998</c:v>
                </c:pt>
                <c:pt idx="241">
                  <c:v>4.4820000000000002</c:v>
                </c:pt>
                <c:pt idx="242">
                  <c:v>4.1539999999999999</c:v>
                </c:pt>
                <c:pt idx="243">
                  <c:v>4.54</c:v>
                </c:pt>
                <c:pt idx="244">
                  <c:v>4.0860000000000003</c:v>
                </c:pt>
                <c:pt idx="245">
                  <c:v>4.7640000000000002</c:v>
                </c:pt>
                <c:pt idx="246">
                  <c:v>4.2539999999999996</c:v>
                </c:pt>
                <c:pt idx="247">
                  <c:v>4.6639999999999997</c:v>
                </c:pt>
                <c:pt idx="248">
                  <c:v>4.4059999999999997</c:v>
                </c:pt>
                <c:pt idx="249">
                  <c:v>5.0949999999999998</c:v>
                </c:pt>
                <c:pt idx="250">
                  <c:v>4.9509999999999996</c:v>
                </c:pt>
                <c:pt idx="251">
                  <c:v>5.26</c:v>
                </c:pt>
                <c:pt idx="252">
                  <c:v>4.2240000000000002</c:v>
                </c:pt>
                <c:pt idx="253">
                  <c:v>4.5720000000000001</c:v>
                </c:pt>
                <c:pt idx="254">
                  <c:v>4.141</c:v>
                </c:pt>
                <c:pt idx="255">
                  <c:v>4.3959999999999999</c:v>
                </c:pt>
                <c:pt idx="256">
                  <c:v>3.516</c:v>
                </c:pt>
                <c:pt idx="257">
                  <c:v>4.6260000000000003</c:v>
                </c:pt>
                <c:pt idx="258">
                  <c:v>5.1829999999999998</c:v>
                </c:pt>
                <c:pt idx="259">
                  <c:v>3.9510000000000001</c:v>
                </c:pt>
                <c:pt idx="260">
                  <c:v>4.1360000000000001</c:v>
                </c:pt>
                <c:pt idx="261">
                  <c:v>5.4279999999999999</c:v>
                </c:pt>
                <c:pt idx="262">
                  <c:v>5.2450000000000001</c:v>
                </c:pt>
                <c:pt idx="263">
                  <c:v>5.7619999999999996</c:v>
                </c:pt>
                <c:pt idx="264">
                  <c:v>5.7009999999999996</c:v>
                </c:pt>
                <c:pt idx="265">
                  <c:v>4.6890000000000001</c:v>
                </c:pt>
                <c:pt idx="266">
                  <c:v>5.7320000000000002</c:v>
                </c:pt>
                <c:pt idx="267">
                  <c:v>5.1829999999999998</c:v>
                </c:pt>
                <c:pt idx="268">
                  <c:v>4.6749999999999998</c:v>
                </c:pt>
                <c:pt idx="269">
                  <c:v>4.9729999999999999</c:v>
                </c:pt>
                <c:pt idx="270">
                  <c:v>4.9290000000000003</c:v>
                </c:pt>
                <c:pt idx="271">
                  <c:v>6.0369999999999999</c:v>
                </c:pt>
                <c:pt idx="272">
                  <c:v>5.5789999999999997</c:v>
                </c:pt>
                <c:pt idx="273">
                  <c:v>5.4889999999999999</c:v>
                </c:pt>
                <c:pt idx="274">
                  <c:v>1.603</c:v>
                </c:pt>
                <c:pt idx="275">
                  <c:v>6.141</c:v>
                </c:pt>
                <c:pt idx="276">
                  <c:v>5.3559999999999999</c:v>
                </c:pt>
                <c:pt idx="277">
                  <c:v>4.1950000000000003</c:v>
                </c:pt>
                <c:pt idx="278">
                  <c:v>4.4180000000000001</c:v>
                </c:pt>
                <c:pt idx="279">
                  <c:v>5.9169999999999998</c:v>
                </c:pt>
                <c:pt idx="280">
                  <c:v>5.8840000000000003</c:v>
                </c:pt>
                <c:pt idx="281">
                  <c:v>4.0709999999999997</c:v>
                </c:pt>
                <c:pt idx="282">
                  <c:v>5.4210000000000003</c:v>
                </c:pt>
                <c:pt idx="283">
                  <c:v>6.6769999999999996</c:v>
                </c:pt>
                <c:pt idx="284">
                  <c:v>6.2140000000000004</c:v>
                </c:pt>
                <c:pt idx="285">
                  <c:v>6.141</c:v>
                </c:pt>
                <c:pt idx="286">
                  <c:v>6.5270000000000001</c:v>
                </c:pt>
                <c:pt idx="287">
                  <c:v>6.7320000000000002</c:v>
                </c:pt>
                <c:pt idx="288">
                  <c:v>6.8239999999999998</c:v>
                </c:pt>
                <c:pt idx="289">
                  <c:v>5.4219999999999997</c:v>
                </c:pt>
                <c:pt idx="290">
                  <c:v>6.0659999999999998</c:v>
                </c:pt>
                <c:pt idx="291">
                  <c:v>5.444</c:v>
                </c:pt>
                <c:pt idx="292">
                  <c:v>7.0330000000000004</c:v>
                </c:pt>
                <c:pt idx="293">
                  <c:v>6.9160000000000004</c:v>
                </c:pt>
                <c:pt idx="294">
                  <c:v>6.9039999999999999</c:v>
                </c:pt>
                <c:pt idx="295">
                  <c:v>6.96</c:v>
                </c:pt>
                <c:pt idx="296">
                  <c:v>7.0270000000000001</c:v>
                </c:pt>
                <c:pt idx="297">
                  <c:v>6.9390000000000001</c:v>
                </c:pt>
                <c:pt idx="298">
                  <c:v>6.9710000000000001</c:v>
                </c:pt>
                <c:pt idx="299">
                  <c:v>7.0419999999999998</c:v>
                </c:pt>
                <c:pt idx="300">
                  <c:v>6.9219999999999997</c:v>
                </c:pt>
                <c:pt idx="301">
                  <c:v>7.2939999999999996</c:v>
                </c:pt>
                <c:pt idx="302">
                  <c:v>7.15</c:v>
                </c:pt>
                <c:pt idx="303">
                  <c:v>7.4080000000000004</c:v>
                </c:pt>
                <c:pt idx="304">
                  <c:v>7.319</c:v>
                </c:pt>
                <c:pt idx="305">
                  <c:v>6.62</c:v>
                </c:pt>
                <c:pt idx="306">
                  <c:v>5.1379999999999999</c:v>
                </c:pt>
                <c:pt idx="307">
                  <c:v>7.3209999999999997</c:v>
                </c:pt>
                <c:pt idx="308">
                  <c:v>6.6189999999999998</c:v>
                </c:pt>
                <c:pt idx="309">
                  <c:v>6.2329999999999997</c:v>
                </c:pt>
                <c:pt idx="310">
                  <c:v>7.1390000000000002</c:v>
                </c:pt>
                <c:pt idx="311">
                  <c:v>5.351</c:v>
                </c:pt>
                <c:pt idx="312">
                  <c:v>6.5449999999999999</c:v>
                </c:pt>
                <c:pt idx="313">
                  <c:v>7.468</c:v>
                </c:pt>
                <c:pt idx="314">
                  <c:v>7.5519999999999996</c:v>
                </c:pt>
                <c:pt idx="315">
                  <c:v>7.4470000000000001</c:v>
                </c:pt>
                <c:pt idx="316">
                  <c:v>5.3449999999999998</c:v>
                </c:pt>
                <c:pt idx="317">
                  <c:v>7.5970000000000004</c:v>
                </c:pt>
                <c:pt idx="318">
                  <c:v>7.0270000000000001</c:v>
                </c:pt>
                <c:pt idx="319">
                  <c:v>4.8140000000000001</c:v>
                </c:pt>
                <c:pt idx="320">
                  <c:v>7.258</c:v>
                </c:pt>
                <c:pt idx="321">
                  <c:v>6.77</c:v>
                </c:pt>
                <c:pt idx="322">
                  <c:v>7.4269999999999996</c:v>
                </c:pt>
                <c:pt idx="323">
                  <c:v>4.5069999999999997</c:v>
                </c:pt>
                <c:pt idx="324">
                  <c:v>7.4829999999999997</c:v>
                </c:pt>
                <c:pt idx="325">
                  <c:v>6.6559999999999997</c:v>
                </c:pt>
                <c:pt idx="326">
                  <c:v>6.95</c:v>
                </c:pt>
                <c:pt idx="327">
                  <c:v>8.0220000000000002</c:v>
                </c:pt>
                <c:pt idx="328">
                  <c:v>7.5220000000000002</c:v>
                </c:pt>
                <c:pt idx="329">
                  <c:v>8.0739999999999998</c:v>
                </c:pt>
                <c:pt idx="330">
                  <c:v>7.9630000000000001</c:v>
                </c:pt>
                <c:pt idx="331">
                  <c:v>6.0140000000000002</c:v>
                </c:pt>
                <c:pt idx="332">
                  <c:v>6.657</c:v>
                </c:pt>
                <c:pt idx="333">
                  <c:v>7.7460000000000004</c:v>
                </c:pt>
                <c:pt idx="334">
                  <c:v>7.9960000000000004</c:v>
                </c:pt>
                <c:pt idx="335">
                  <c:v>8.1720000000000006</c:v>
                </c:pt>
                <c:pt idx="336">
                  <c:v>7.1760000000000002</c:v>
                </c:pt>
                <c:pt idx="337">
                  <c:v>6.673</c:v>
                </c:pt>
                <c:pt idx="338">
                  <c:v>8.3059999999999992</c:v>
                </c:pt>
                <c:pt idx="339">
                  <c:v>7.36</c:v>
                </c:pt>
                <c:pt idx="340">
                  <c:v>8.3450000000000006</c:v>
                </c:pt>
                <c:pt idx="341">
                  <c:v>8.3539999999999992</c:v>
                </c:pt>
                <c:pt idx="342">
                  <c:v>8.0359999999999996</c:v>
                </c:pt>
                <c:pt idx="343">
                  <c:v>5.9550000000000001</c:v>
                </c:pt>
                <c:pt idx="344">
                  <c:v>3.1560000000000001</c:v>
                </c:pt>
                <c:pt idx="345">
                  <c:v>6.8840000000000003</c:v>
                </c:pt>
                <c:pt idx="346">
                  <c:v>7.7039999999999997</c:v>
                </c:pt>
                <c:pt idx="347">
                  <c:v>7.44</c:v>
                </c:pt>
                <c:pt idx="348">
                  <c:v>6.0179999999999998</c:v>
                </c:pt>
                <c:pt idx="349">
                  <c:v>8.2880000000000003</c:v>
                </c:pt>
                <c:pt idx="350">
                  <c:v>7.3769999999999998</c:v>
                </c:pt>
                <c:pt idx="351">
                  <c:v>7.89</c:v>
                </c:pt>
                <c:pt idx="352">
                  <c:v>7.915</c:v>
                </c:pt>
                <c:pt idx="353">
                  <c:v>5.9509999999999996</c:v>
                </c:pt>
                <c:pt idx="354">
                  <c:v>7.0919999999999996</c:v>
                </c:pt>
                <c:pt idx="355">
                  <c:v>8.3520000000000003</c:v>
                </c:pt>
                <c:pt idx="356">
                  <c:v>8.3320000000000007</c:v>
                </c:pt>
                <c:pt idx="357">
                  <c:v>8.3919999999999995</c:v>
                </c:pt>
                <c:pt idx="358">
                  <c:v>7.62</c:v>
                </c:pt>
                <c:pt idx="359">
                  <c:v>6.1920000000000002</c:v>
                </c:pt>
                <c:pt idx="360">
                  <c:v>2.1480000000000001</c:v>
                </c:pt>
                <c:pt idx="361">
                  <c:v>8.27</c:v>
                </c:pt>
                <c:pt idx="362">
                  <c:v>4.6820000000000004</c:v>
                </c:pt>
                <c:pt idx="363">
                  <c:v>3.4460000000000002</c:v>
                </c:pt>
                <c:pt idx="364">
                  <c:v>6.33</c:v>
                </c:pt>
                <c:pt idx="365">
                  <c:v>7.39</c:v>
                </c:pt>
                <c:pt idx="366">
                  <c:v>4.524</c:v>
                </c:pt>
                <c:pt idx="367">
                  <c:v>7.0279999999999996</c:v>
                </c:pt>
                <c:pt idx="368">
                  <c:v>8.0719999999999992</c:v>
                </c:pt>
                <c:pt idx="369">
                  <c:v>8.2279999999999998</c:v>
                </c:pt>
                <c:pt idx="370">
                  <c:v>8.2379999999999995</c:v>
                </c:pt>
                <c:pt idx="371">
                  <c:v>8.2319999999999993</c:v>
                </c:pt>
                <c:pt idx="372">
                  <c:v>8.2639999999999993</c:v>
                </c:pt>
                <c:pt idx="373">
                  <c:v>7.8520000000000003</c:v>
                </c:pt>
                <c:pt idx="374">
                  <c:v>8.0559999999999992</c:v>
                </c:pt>
                <c:pt idx="375">
                  <c:v>8.1300000000000008</c:v>
                </c:pt>
                <c:pt idx="376">
                  <c:v>7.524</c:v>
                </c:pt>
                <c:pt idx="377">
                  <c:v>8.1679999999999993</c:v>
                </c:pt>
                <c:pt idx="378">
                  <c:v>8.1140000000000008</c:v>
                </c:pt>
                <c:pt idx="379">
                  <c:v>7.9580000000000002</c:v>
                </c:pt>
                <c:pt idx="380">
                  <c:v>7.1020000000000003</c:v>
                </c:pt>
                <c:pt idx="381">
                  <c:v>8.0139999999999993</c:v>
                </c:pt>
                <c:pt idx="382">
                  <c:v>7.66</c:v>
                </c:pt>
                <c:pt idx="383">
                  <c:v>2.0760000000000001</c:v>
                </c:pt>
                <c:pt idx="384">
                  <c:v>3.9540000000000002</c:v>
                </c:pt>
                <c:pt idx="385">
                  <c:v>6.1379999999999999</c:v>
                </c:pt>
                <c:pt idx="386">
                  <c:v>8.016</c:v>
                </c:pt>
                <c:pt idx="387">
                  <c:v>8.0180000000000007</c:v>
                </c:pt>
                <c:pt idx="388">
                  <c:v>6.8319999999999999</c:v>
                </c:pt>
                <c:pt idx="389">
                  <c:v>7.718</c:v>
                </c:pt>
                <c:pt idx="390">
                  <c:v>7.8239999999999998</c:v>
                </c:pt>
                <c:pt idx="391">
                  <c:v>7.9580000000000002</c:v>
                </c:pt>
                <c:pt idx="392">
                  <c:v>7.2380000000000004</c:v>
                </c:pt>
                <c:pt idx="393">
                  <c:v>7.8460000000000001</c:v>
                </c:pt>
                <c:pt idx="394">
                  <c:v>7.8620000000000001</c:v>
                </c:pt>
                <c:pt idx="395">
                  <c:v>7.6379999999999999</c:v>
                </c:pt>
                <c:pt idx="396">
                  <c:v>5.9359999999999999</c:v>
                </c:pt>
                <c:pt idx="397">
                  <c:v>6.9039999999999999</c:v>
                </c:pt>
                <c:pt idx="398">
                  <c:v>7.34</c:v>
                </c:pt>
                <c:pt idx="399">
                  <c:v>7.6440000000000001</c:v>
                </c:pt>
                <c:pt idx="400">
                  <c:v>6.5540000000000003</c:v>
                </c:pt>
                <c:pt idx="401">
                  <c:v>7.5759999999999996</c:v>
                </c:pt>
                <c:pt idx="402">
                  <c:v>7.024</c:v>
                </c:pt>
                <c:pt idx="403">
                  <c:v>6.2960000000000003</c:v>
                </c:pt>
                <c:pt idx="404">
                  <c:v>7.4240000000000004</c:v>
                </c:pt>
                <c:pt idx="405">
                  <c:v>7.4740000000000002</c:v>
                </c:pt>
                <c:pt idx="406">
                  <c:v>7.48</c:v>
                </c:pt>
                <c:pt idx="407">
                  <c:v>7.452</c:v>
                </c:pt>
                <c:pt idx="408">
                  <c:v>7.4039999999999999</c:v>
                </c:pt>
                <c:pt idx="409">
                  <c:v>7.3339999999999996</c:v>
                </c:pt>
                <c:pt idx="410">
                  <c:v>7.2880000000000003</c:v>
                </c:pt>
                <c:pt idx="411">
                  <c:v>7.24</c:v>
                </c:pt>
                <c:pt idx="412">
                  <c:v>7.2080000000000002</c:v>
                </c:pt>
                <c:pt idx="413">
                  <c:v>6.9180000000000001</c:v>
                </c:pt>
                <c:pt idx="414">
                  <c:v>6.258</c:v>
                </c:pt>
                <c:pt idx="415">
                  <c:v>5.6859999999999999</c:v>
                </c:pt>
                <c:pt idx="416">
                  <c:v>6.226</c:v>
                </c:pt>
                <c:pt idx="417">
                  <c:v>7.0659999999999998</c:v>
                </c:pt>
                <c:pt idx="418">
                  <c:v>5.806</c:v>
                </c:pt>
                <c:pt idx="419">
                  <c:v>5.8620000000000001</c:v>
                </c:pt>
                <c:pt idx="420">
                  <c:v>6.6159999999999997</c:v>
                </c:pt>
                <c:pt idx="421">
                  <c:v>6.5860000000000003</c:v>
                </c:pt>
                <c:pt idx="422">
                  <c:v>5.556</c:v>
                </c:pt>
                <c:pt idx="423">
                  <c:v>5.41</c:v>
                </c:pt>
                <c:pt idx="424">
                  <c:v>4.6100000000000003</c:v>
                </c:pt>
                <c:pt idx="425">
                  <c:v>6.4279999999999999</c:v>
                </c:pt>
                <c:pt idx="426">
                  <c:v>6.2919999999999998</c:v>
                </c:pt>
                <c:pt idx="427">
                  <c:v>5.9619999999999997</c:v>
                </c:pt>
                <c:pt idx="428">
                  <c:v>5.3440000000000003</c:v>
                </c:pt>
                <c:pt idx="429">
                  <c:v>6.5380000000000003</c:v>
                </c:pt>
                <c:pt idx="430">
                  <c:v>6.4820000000000002</c:v>
                </c:pt>
                <c:pt idx="431">
                  <c:v>6.4059999999999997</c:v>
                </c:pt>
                <c:pt idx="432">
                  <c:v>6.1319999999999997</c:v>
                </c:pt>
                <c:pt idx="433">
                  <c:v>1.6240000000000001</c:v>
                </c:pt>
                <c:pt idx="434">
                  <c:v>5.1760000000000002</c:v>
                </c:pt>
                <c:pt idx="435">
                  <c:v>5.8620000000000001</c:v>
                </c:pt>
                <c:pt idx="436">
                  <c:v>3.97</c:v>
                </c:pt>
                <c:pt idx="437">
                  <c:v>1.5760000000000001</c:v>
                </c:pt>
                <c:pt idx="438">
                  <c:v>1.5620000000000001</c:v>
                </c:pt>
                <c:pt idx="439">
                  <c:v>5.7640000000000002</c:v>
                </c:pt>
                <c:pt idx="440">
                  <c:v>5.57</c:v>
                </c:pt>
                <c:pt idx="441">
                  <c:v>5.35</c:v>
                </c:pt>
                <c:pt idx="442">
                  <c:v>2.1219999999999999</c:v>
                </c:pt>
                <c:pt idx="443">
                  <c:v>3.698</c:v>
                </c:pt>
                <c:pt idx="444">
                  <c:v>5.7919999999999998</c:v>
                </c:pt>
                <c:pt idx="445">
                  <c:v>4.3159999999999998</c:v>
                </c:pt>
                <c:pt idx="446">
                  <c:v>3.242</c:v>
                </c:pt>
                <c:pt idx="447">
                  <c:v>5.4960000000000004</c:v>
                </c:pt>
                <c:pt idx="448">
                  <c:v>5.6059999999999999</c:v>
                </c:pt>
                <c:pt idx="449">
                  <c:v>4.2759999999999998</c:v>
                </c:pt>
                <c:pt idx="450">
                  <c:v>3.2480000000000002</c:v>
                </c:pt>
                <c:pt idx="451">
                  <c:v>1.4019999999999999</c:v>
                </c:pt>
                <c:pt idx="452">
                  <c:v>4.7060000000000004</c:v>
                </c:pt>
                <c:pt idx="453">
                  <c:v>5.1280000000000001</c:v>
                </c:pt>
                <c:pt idx="454">
                  <c:v>4.1639999999999997</c:v>
                </c:pt>
                <c:pt idx="455">
                  <c:v>4.8499999999999996</c:v>
                </c:pt>
                <c:pt idx="456">
                  <c:v>4.0739999999999998</c:v>
                </c:pt>
                <c:pt idx="457">
                  <c:v>5.0679999999999996</c:v>
                </c:pt>
                <c:pt idx="458">
                  <c:v>4.4640000000000004</c:v>
                </c:pt>
                <c:pt idx="459">
                  <c:v>4.4459999999999997</c:v>
                </c:pt>
                <c:pt idx="460">
                  <c:v>4.742</c:v>
                </c:pt>
                <c:pt idx="461">
                  <c:v>4.9480000000000004</c:v>
                </c:pt>
                <c:pt idx="462">
                  <c:v>4.4320000000000004</c:v>
                </c:pt>
                <c:pt idx="463">
                  <c:v>4.3179999999999996</c:v>
                </c:pt>
                <c:pt idx="464">
                  <c:v>4.0179999999999998</c:v>
                </c:pt>
                <c:pt idx="465">
                  <c:v>4.798</c:v>
                </c:pt>
                <c:pt idx="466">
                  <c:v>3.1480000000000001</c:v>
                </c:pt>
                <c:pt idx="467">
                  <c:v>3.456</c:v>
                </c:pt>
                <c:pt idx="468">
                  <c:v>2.7120000000000002</c:v>
                </c:pt>
                <c:pt idx="469">
                  <c:v>4.3259999999999996</c:v>
                </c:pt>
                <c:pt idx="470">
                  <c:v>4.3079999999999998</c:v>
                </c:pt>
                <c:pt idx="471">
                  <c:v>2.2360000000000002</c:v>
                </c:pt>
                <c:pt idx="472">
                  <c:v>3.5550000000000002</c:v>
                </c:pt>
                <c:pt idx="473">
                  <c:v>2.9630000000000001</c:v>
                </c:pt>
                <c:pt idx="474">
                  <c:v>3.47</c:v>
                </c:pt>
                <c:pt idx="475">
                  <c:v>3.395</c:v>
                </c:pt>
                <c:pt idx="476">
                  <c:v>2.1989999999999998</c:v>
                </c:pt>
                <c:pt idx="477">
                  <c:v>4.0049999999999999</c:v>
                </c:pt>
                <c:pt idx="478">
                  <c:v>4.1609999999999996</c:v>
                </c:pt>
                <c:pt idx="479">
                  <c:v>1.5649999999999999</c:v>
                </c:pt>
                <c:pt idx="480">
                  <c:v>2.7269999999999999</c:v>
                </c:pt>
                <c:pt idx="481">
                  <c:v>3.9119999999999999</c:v>
                </c:pt>
                <c:pt idx="482">
                  <c:v>1.111</c:v>
                </c:pt>
                <c:pt idx="483">
                  <c:v>1.407</c:v>
                </c:pt>
                <c:pt idx="484">
                  <c:v>1.395</c:v>
                </c:pt>
                <c:pt idx="485">
                  <c:v>3.4009999999999998</c:v>
                </c:pt>
                <c:pt idx="486">
                  <c:v>2.46</c:v>
                </c:pt>
                <c:pt idx="487">
                  <c:v>3.0169999999999999</c:v>
                </c:pt>
                <c:pt idx="488">
                  <c:v>2.6280000000000001</c:v>
                </c:pt>
                <c:pt idx="489">
                  <c:v>2.1419999999999999</c:v>
                </c:pt>
                <c:pt idx="490">
                  <c:v>2.0409999999999999</c:v>
                </c:pt>
                <c:pt idx="491">
                  <c:v>3.6720000000000002</c:v>
                </c:pt>
                <c:pt idx="492">
                  <c:v>2.851</c:v>
                </c:pt>
                <c:pt idx="493">
                  <c:v>2.286</c:v>
                </c:pt>
                <c:pt idx="494">
                  <c:v>2.649</c:v>
                </c:pt>
                <c:pt idx="495">
                  <c:v>3.0270000000000001</c:v>
                </c:pt>
                <c:pt idx="496">
                  <c:v>3.26</c:v>
                </c:pt>
                <c:pt idx="497">
                  <c:v>3.05</c:v>
                </c:pt>
                <c:pt idx="498">
                  <c:v>2.101</c:v>
                </c:pt>
                <c:pt idx="499">
                  <c:v>3.347</c:v>
                </c:pt>
                <c:pt idx="500">
                  <c:v>1.7509999999999999</c:v>
                </c:pt>
                <c:pt idx="501">
                  <c:v>1.786</c:v>
                </c:pt>
                <c:pt idx="502">
                  <c:v>2.754</c:v>
                </c:pt>
                <c:pt idx="503">
                  <c:v>1.845</c:v>
                </c:pt>
                <c:pt idx="504">
                  <c:v>2.2989999999999999</c:v>
                </c:pt>
                <c:pt idx="505">
                  <c:v>1.111</c:v>
                </c:pt>
                <c:pt idx="506">
                  <c:v>1.8859999999999999</c:v>
                </c:pt>
                <c:pt idx="507">
                  <c:v>1.256</c:v>
                </c:pt>
                <c:pt idx="508">
                  <c:v>2.3780000000000001</c:v>
                </c:pt>
                <c:pt idx="509">
                  <c:v>1.694</c:v>
                </c:pt>
                <c:pt idx="510">
                  <c:v>1.1120000000000001</c:v>
                </c:pt>
                <c:pt idx="511">
                  <c:v>1.1100000000000001</c:v>
                </c:pt>
                <c:pt idx="512">
                  <c:v>1.1120000000000001</c:v>
                </c:pt>
                <c:pt idx="513">
                  <c:v>1.2869999999999999</c:v>
                </c:pt>
                <c:pt idx="514">
                  <c:v>1.1120000000000001</c:v>
                </c:pt>
                <c:pt idx="515">
                  <c:v>2.6080000000000001</c:v>
                </c:pt>
                <c:pt idx="516">
                  <c:v>2.0499999999999998</c:v>
                </c:pt>
                <c:pt idx="517">
                  <c:v>2.266</c:v>
                </c:pt>
                <c:pt idx="518">
                  <c:v>2.1030000000000002</c:v>
                </c:pt>
                <c:pt idx="519">
                  <c:v>1.18</c:v>
                </c:pt>
                <c:pt idx="520">
                  <c:v>2.3159999999999998</c:v>
                </c:pt>
                <c:pt idx="521">
                  <c:v>1.8979999999999999</c:v>
                </c:pt>
                <c:pt idx="522">
                  <c:v>1.702</c:v>
                </c:pt>
                <c:pt idx="523">
                  <c:v>2.883</c:v>
                </c:pt>
                <c:pt idx="524">
                  <c:v>2.5649999999999999</c:v>
                </c:pt>
                <c:pt idx="525">
                  <c:v>1.6859999999999999</c:v>
                </c:pt>
                <c:pt idx="526">
                  <c:v>2.8359999999999999</c:v>
                </c:pt>
                <c:pt idx="527">
                  <c:v>2.964</c:v>
                </c:pt>
                <c:pt idx="528">
                  <c:v>2.48</c:v>
                </c:pt>
                <c:pt idx="529">
                  <c:v>1.1100000000000001</c:v>
                </c:pt>
                <c:pt idx="530">
                  <c:v>2.16</c:v>
                </c:pt>
                <c:pt idx="531">
                  <c:v>1.8520000000000001</c:v>
                </c:pt>
                <c:pt idx="532">
                  <c:v>2.7480000000000002</c:v>
                </c:pt>
                <c:pt idx="533">
                  <c:v>1.1120000000000001</c:v>
                </c:pt>
                <c:pt idx="534">
                  <c:v>1.3260000000000001</c:v>
                </c:pt>
                <c:pt idx="535">
                  <c:v>1.1120000000000001</c:v>
                </c:pt>
                <c:pt idx="536">
                  <c:v>1.1120000000000001</c:v>
                </c:pt>
                <c:pt idx="537">
                  <c:v>2.8460000000000001</c:v>
                </c:pt>
                <c:pt idx="538">
                  <c:v>2.78</c:v>
                </c:pt>
                <c:pt idx="539">
                  <c:v>1.1120000000000001</c:v>
                </c:pt>
                <c:pt idx="540">
                  <c:v>1.1100000000000001</c:v>
                </c:pt>
                <c:pt idx="541">
                  <c:v>1.9059999999999999</c:v>
                </c:pt>
                <c:pt idx="542">
                  <c:v>1.1100000000000001</c:v>
                </c:pt>
                <c:pt idx="543">
                  <c:v>2.6720000000000002</c:v>
                </c:pt>
                <c:pt idx="544">
                  <c:v>1.1100000000000001</c:v>
                </c:pt>
                <c:pt idx="545">
                  <c:v>1.994</c:v>
                </c:pt>
                <c:pt idx="546">
                  <c:v>1.1120000000000001</c:v>
                </c:pt>
                <c:pt idx="547">
                  <c:v>1.1120000000000001</c:v>
                </c:pt>
                <c:pt idx="548">
                  <c:v>1.1120000000000001</c:v>
                </c:pt>
                <c:pt idx="549">
                  <c:v>2.2320000000000002</c:v>
                </c:pt>
                <c:pt idx="550">
                  <c:v>2.02</c:v>
                </c:pt>
                <c:pt idx="551">
                  <c:v>2.5579999999999998</c:v>
                </c:pt>
                <c:pt idx="552">
                  <c:v>3.0619999999999998</c:v>
                </c:pt>
                <c:pt idx="553">
                  <c:v>2.6840000000000002</c:v>
                </c:pt>
                <c:pt idx="554">
                  <c:v>1.1120000000000001</c:v>
                </c:pt>
                <c:pt idx="555">
                  <c:v>1.26</c:v>
                </c:pt>
                <c:pt idx="556">
                  <c:v>2.2120000000000002</c:v>
                </c:pt>
                <c:pt idx="557">
                  <c:v>2.9180000000000001</c:v>
                </c:pt>
                <c:pt idx="558">
                  <c:v>2.6059999999999999</c:v>
                </c:pt>
                <c:pt idx="559">
                  <c:v>3.1840000000000002</c:v>
                </c:pt>
                <c:pt idx="560">
                  <c:v>3.2120000000000002</c:v>
                </c:pt>
                <c:pt idx="561">
                  <c:v>1.224</c:v>
                </c:pt>
                <c:pt idx="562">
                  <c:v>2.0579999999999998</c:v>
                </c:pt>
                <c:pt idx="563">
                  <c:v>3.016</c:v>
                </c:pt>
                <c:pt idx="564">
                  <c:v>2.4620000000000002</c:v>
                </c:pt>
                <c:pt idx="565">
                  <c:v>2.0960000000000001</c:v>
                </c:pt>
                <c:pt idx="566">
                  <c:v>2.7320000000000002</c:v>
                </c:pt>
                <c:pt idx="567">
                  <c:v>2.9220000000000002</c:v>
                </c:pt>
                <c:pt idx="568">
                  <c:v>3.242</c:v>
                </c:pt>
                <c:pt idx="569">
                  <c:v>2.786</c:v>
                </c:pt>
                <c:pt idx="570">
                  <c:v>1.9339999999999999</c:v>
                </c:pt>
                <c:pt idx="571">
                  <c:v>1.458</c:v>
                </c:pt>
                <c:pt idx="572">
                  <c:v>2.1960000000000002</c:v>
                </c:pt>
                <c:pt idx="573">
                  <c:v>3.2360000000000002</c:v>
                </c:pt>
                <c:pt idx="574">
                  <c:v>2.794</c:v>
                </c:pt>
                <c:pt idx="575">
                  <c:v>2.3359999999999999</c:v>
                </c:pt>
                <c:pt idx="576">
                  <c:v>2.9660000000000002</c:v>
                </c:pt>
                <c:pt idx="577">
                  <c:v>2.5059999999999998</c:v>
                </c:pt>
                <c:pt idx="578">
                  <c:v>3.0139999999999998</c:v>
                </c:pt>
                <c:pt idx="579">
                  <c:v>2.8439999999999999</c:v>
                </c:pt>
                <c:pt idx="580">
                  <c:v>3.024</c:v>
                </c:pt>
                <c:pt idx="581">
                  <c:v>3.4740000000000002</c:v>
                </c:pt>
                <c:pt idx="582">
                  <c:v>3.1680000000000001</c:v>
                </c:pt>
                <c:pt idx="583">
                  <c:v>1.1120000000000001</c:v>
                </c:pt>
                <c:pt idx="584">
                  <c:v>2.5960000000000001</c:v>
                </c:pt>
                <c:pt idx="585">
                  <c:v>1.8280000000000001</c:v>
                </c:pt>
                <c:pt idx="586">
                  <c:v>2.3119999999999998</c:v>
                </c:pt>
                <c:pt idx="587">
                  <c:v>3.2080000000000002</c:v>
                </c:pt>
                <c:pt idx="588">
                  <c:v>3.6859999999999999</c:v>
                </c:pt>
                <c:pt idx="589">
                  <c:v>1.274</c:v>
                </c:pt>
                <c:pt idx="590">
                  <c:v>3.48</c:v>
                </c:pt>
                <c:pt idx="591">
                  <c:v>2.5619999999999998</c:v>
                </c:pt>
                <c:pt idx="592">
                  <c:v>3.47</c:v>
                </c:pt>
                <c:pt idx="593">
                  <c:v>4.1260000000000003</c:v>
                </c:pt>
                <c:pt idx="594">
                  <c:v>1.3340000000000001</c:v>
                </c:pt>
                <c:pt idx="595">
                  <c:v>3.6539999999999999</c:v>
                </c:pt>
                <c:pt idx="596">
                  <c:v>2.3919999999999999</c:v>
                </c:pt>
                <c:pt idx="597">
                  <c:v>4.0960000000000001</c:v>
                </c:pt>
                <c:pt idx="598">
                  <c:v>2.6440000000000001</c:v>
                </c:pt>
                <c:pt idx="599">
                  <c:v>3.9820000000000002</c:v>
                </c:pt>
                <c:pt idx="600">
                  <c:v>2.3780000000000001</c:v>
                </c:pt>
                <c:pt idx="601">
                  <c:v>3.38</c:v>
                </c:pt>
                <c:pt idx="602">
                  <c:v>4.2060000000000004</c:v>
                </c:pt>
                <c:pt idx="603">
                  <c:v>4.26</c:v>
                </c:pt>
                <c:pt idx="604">
                  <c:v>1.194</c:v>
                </c:pt>
                <c:pt idx="605">
                  <c:v>4.2119999999999997</c:v>
                </c:pt>
                <c:pt idx="606">
                  <c:v>3.4140000000000001</c:v>
                </c:pt>
                <c:pt idx="607">
                  <c:v>4.2060000000000004</c:v>
                </c:pt>
                <c:pt idx="608">
                  <c:v>3.1880000000000002</c:v>
                </c:pt>
                <c:pt idx="609">
                  <c:v>4.9000000000000004</c:v>
                </c:pt>
                <c:pt idx="610">
                  <c:v>3.7280000000000002</c:v>
                </c:pt>
                <c:pt idx="611">
                  <c:v>4.798</c:v>
                </c:pt>
                <c:pt idx="612">
                  <c:v>3.3319999999999999</c:v>
                </c:pt>
                <c:pt idx="613">
                  <c:v>3.8460000000000001</c:v>
                </c:pt>
                <c:pt idx="614">
                  <c:v>1.3120000000000001</c:v>
                </c:pt>
                <c:pt idx="615">
                  <c:v>3.649</c:v>
                </c:pt>
                <c:pt idx="616">
                  <c:v>3.2080000000000002</c:v>
                </c:pt>
                <c:pt idx="617">
                  <c:v>5.28</c:v>
                </c:pt>
                <c:pt idx="618">
                  <c:v>5.258</c:v>
                </c:pt>
                <c:pt idx="619">
                  <c:v>4.0650000000000004</c:v>
                </c:pt>
                <c:pt idx="620">
                  <c:v>4.7409999999999997</c:v>
                </c:pt>
                <c:pt idx="621">
                  <c:v>4.8010000000000002</c:v>
                </c:pt>
                <c:pt idx="622">
                  <c:v>4.1619999999999999</c:v>
                </c:pt>
                <c:pt idx="623">
                  <c:v>5.3810000000000002</c:v>
                </c:pt>
                <c:pt idx="624">
                  <c:v>5.5890000000000004</c:v>
                </c:pt>
                <c:pt idx="625">
                  <c:v>5.649</c:v>
                </c:pt>
                <c:pt idx="626">
                  <c:v>2.9289999999999998</c:v>
                </c:pt>
                <c:pt idx="627">
                  <c:v>4.907</c:v>
                </c:pt>
                <c:pt idx="628">
                  <c:v>5.0780000000000003</c:v>
                </c:pt>
                <c:pt idx="629">
                  <c:v>5.6719999999999997</c:v>
                </c:pt>
                <c:pt idx="630">
                  <c:v>1.9610000000000001</c:v>
                </c:pt>
                <c:pt idx="631">
                  <c:v>4.6150000000000002</c:v>
                </c:pt>
                <c:pt idx="632">
                  <c:v>5.1719999999999997</c:v>
                </c:pt>
                <c:pt idx="633">
                  <c:v>3.64</c:v>
                </c:pt>
                <c:pt idx="634">
                  <c:v>4.7110000000000003</c:v>
                </c:pt>
                <c:pt idx="635">
                  <c:v>4.7140000000000004</c:v>
                </c:pt>
                <c:pt idx="636">
                  <c:v>5.3840000000000003</c:v>
                </c:pt>
                <c:pt idx="637">
                  <c:v>4.5279999999999996</c:v>
                </c:pt>
                <c:pt idx="638">
                  <c:v>4.2359999999999998</c:v>
                </c:pt>
                <c:pt idx="639">
                  <c:v>3.7349999999999999</c:v>
                </c:pt>
                <c:pt idx="640">
                  <c:v>4.25</c:v>
                </c:pt>
                <c:pt idx="641">
                  <c:v>6.0869999999999997</c:v>
                </c:pt>
                <c:pt idx="642">
                  <c:v>4.3410000000000002</c:v>
                </c:pt>
                <c:pt idx="643">
                  <c:v>2.2919999999999998</c:v>
                </c:pt>
                <c:pt idx="644">
                  <c:v>3.4380000000000002</c:v>
                </c:pt>
                <c:pt idx="645">
                  <c:v>5.4930000000000003</c:v>
                </c:pt>
                <c:pt idx="646">
                  <c:v>4.8179999999999996</c:v>
                </c:pt>
                <c:pt idx="647">
                  <c:v>6.2610000000000001</c:v>
                </c:pt>
                <c:pt idx="648">
                  <c:v>6.3949999999999996</c:v>
                </c:pt>
                <c:pt idx="649">
                  <c:v>6.141</c:v>
                </c:pt>
                <c:pt idx="650">
                  <c:v>5.8250000000000002</c:v>
                </c:pt>
                <c:pt idx="651">
                  <c:v>6.8259999999999996</c:v>
                </c:pt>
                <c:pt idx="652">
                  <c:v>6.8609999999999998</c:v>
                </c:pt>
                <c:pt idx="653">
                  <c:v>6.819</c:v>
                </c:pt>
                <c:pt idx="654">
                  <c:v>6.7759999999999998</c:v>
                </c:pt>
                <c:pt idx="655">
                  <c:v>5.12</c:v>
                </c:pt>
                <c:pt idx="656">
                  <c:v>6.7240000000000002</c:v>
                </c:pt>
                <c:pt idx="657">
                  <c:v>7.0650000000000004</c:v>
                </c:pt>
                <c:pt idx="658">
                  <c:v>6.6619999999999999</c:v>
                </c:pt>
                <c:pt idx="659">
                  <c:v>6.6289999999999996</c:v>
                </c:pt>
                <c:pt idx="660">
                  <c:v>5.4429999999999996</c:v>
                </c:pt>
                <c:pt idx="661">
                  <c:v>5.6269999999999998</c:v>
                </c:pt>
                <c:pt idx="662">
                  <c:v>1.857</c:v>
                </c:pt>
                <c:pt idx="663">
                  <c:v>5.1180000000000003</c:v>
                </c:pt>
                <c:pt idx="664">
                  <c:v>6.7750000000000004</c:v>
                </c:pt>
                <c:pt idx="665">
                  <c:v>6.3979999999999997</c:v>
                </c:pt>
                <c:pt idx="666">
                  <c:v>7.2450000000000001</c:v>
                </c:pt>
                <c:pt idx="667">
                  <c:v>6.4989999999999997</c:v>
                </c:pt>
                <c:pt idx="668">
                  <c:v>4.0640000000000001</c:v>
                </c:pt>
                <c:pt idx="669">
                  <c:v>1.917</c:v>
                </c:pt>
                <c:pt idx="670">
                  <c:v>6.6210000000000004</c:v>
                </c:pt>
                <c:pt idx="671">
                  <c:v>5.8220000000000001</c:v>
                </c:pt>
                <c:pt idx="672">
                  <c:v>6.9109999999999996</c:v>
                </c:pt>
                <c:pt idx="673">
                  <c:v>1.9490000000000001</c:v>
                </c:pt>
                <c:pt idx="674">
                  <c:v>4.2210000000000001</c:v>
                </c:pt>
                <c:pt idx="675">
                  <c:v>6.6829999999999998</c:v>
                </c:pt>
                <c:pt idx="676">
                  <c:v>5.95</c:v>
                </c:pt>
                <c:pt idx="677">
                  <c:v>7.5890000000000004</c:v>
                </c:pt>
                <c:pt idx="678">
                  <c:v>5.4390000000000001</c:v>
                </c:pt>
                <c:pt idx="679">
                  <c:v>6.9429999999999996</c:v>
                </c:pt>
                <c:pt idx="680">
                  <c:v>7.1790000000000003</c:v>
                </c:pt>
                <c:pt idx="681">
                  <c:v>4.5010000000000003</c:v>
                </c:pt>
                <c:pt idx="682">
                  <c:v>7.5090000000000003</c:v>
                </c:pt>
                <c:pt idx="683">
                  <c:v>7.8209999999999997</c:v>
                </c:pt>
                <c:pt idx="684">
                  <c:v>7.8789999999999996</c:v>
                </c:pt>
                <c:pt idx="685">
                  <c:v>7.6509999999999998</c:v>
                </c:pt>
                <c:pt idx="686">
                  <c:v>6.7539999999999996</c:v>
                </c:pt>
                <c:pt idx="687">
                  <c:v>6.3259999999999996</c:v>
                </c:pt>
                <c:pt idx="688">
                  <c:v>7.5519999999999996</c:v>
                </c:pt>
                <c:pt idx="689">
                  <c:v>7.1440000000000001</c:v>
                </c:pt>
                <c:pt idx="690">
                  <c:v>5.0519999999999996</c:v>
                </c:pt>
                <c:pt idx="691">
                  <c:v>5.8570000000000002</c:v>
                </c:pt>
                <c:pt idx="692">
                  <c:v>4.0460000000000003</c:v>
                </c:pt>
                <c:pt idx="693">
                  <c:v>6.3410000000000002</c:v>
                </c:pt>
                <c:pt idx="694">
                  <c:v>6.78</c:v>
                </c:pt>
                <c:pt idx="695">
                  <c:v>7.3250000000000002</c:v>
                </c:pt>
                <c:pt idx="696">
                  <c:v>7.4809999999999999</c:v>
                </c:pt>
                <c:pt idx="697">
                  <c:v>7.52</c:v>
                </c:pt>
                <c:pt idx="698">
                  <c:v>7.5309999999999997</c:v>
                </c:pt>
                <c:pt idx="699">
                  <c:v>7.1139999999999999</c:v>
                </c:pt>
                <c:pt idx="700">
                  <c:v>2.113</c:v>
                </c:pt>
                <c:pt idx="701">
                  <c:v>5.9550000000000001</c:v>
                </c:pt>
                <c:pt idx="702">
                  <c:v>5.1520000000000001</c:v>
                </c:pt>
                <c:pt idx="703">
                  <c:v>7.0140000000000002</c:v>
                </c:pt>
                <c:pt idx="704">
                  <c:v>8.2870000000000008</c:v>
                </c:pt>
                <c:pt idx="705">
                  <c:v>8.2129999999999992</c:v>
                </c:pt>
                <c:pt idx="706">
                  <c:v>7.7919999999999998</c:v>
                </c:pt>
                <c:pt idx="707">
                  <c:v>8.1920000000000002</c:v>
                </c:pt>
                <c:pt idx="708">
                  <c:v>8.2609999999999992</c:v>
                </c:pt>
                <c:pt idx="709">
                  <c:v>8.3049999999999997</c:v>
                </c:pt>
                <c:pt idx="710">
                  <c:v>7.9089999999999998</c:v>
                </c:pt>
                <c:pt idx="711">
                  <c:v>7.6159999999999997</c:v>
                </c:pt>
                <c:pt idx="712">
                  <c:v>6.9589999999999996</c:v>
                </c:pt>
                <c:pt idx="713">
                  <c:v>7.1890000000000001</c:v>
                </c:pt>
                <c:pt idx="714">
                  <c:v>7.1909999999999998</c:v>
                </c:pt>
                <c:pt idx="715">
                  <c:v>8.2360000000000007</c:v>
                </c:pt>
                <c:pt idx="716">
                  <c:v>8.2360000000000007</c:v>
                </c:pt>
                <c:pt idx="717">
                  <c:v>8.3629999999999995</c:v>
                </c:pt>
                <c:pt idx="718">
                  <c:v>7.8719999999999999</c:v>
                </c:pt>
                <c:pt idx="719">
                  <c:v>6.4420000000000002</c:v>
                </c:pt>
                <c:pt idx="720">
                  <c:v>4.992</c:v>
                </c:pt>
                <c:pt idx="721">
                  <c:v>6.6079999999999997</c:v>
                </c:pt>
                <c:pt idx="722">
                  <c:v>7.766</c:v>
                </c:pt>
                <c:pt idx="723">
                  <c:v>6.77</c:v>
                </c:pt>
                <c:pt idx="724">
                  <c:v>8.0340000000000007</c:v>
                </c:pt>
                <c:pt idx="725">
                  <c:v>8.2059999999999995</c:v>
                </c:pt>
                <c:pt idx="726">
                  <c:v>8.3699999999999992</c:v>
                </c:pt>
                <c:pt idx="727">
                  <c:v>8.2439999999999998</c:v>
                </c:pt>
                <c:pt idx="728">
                  <c:v>7.76</c:v>
                </c:pt>
                <c:pt idx="729">
                  <c:v>8.1120000000000001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5-417C-A19E-07EDB97D67D4}"/>
            </c:ext>
          </c:extLst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Temperature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Sheet1!$B$2:$B$731</c:f>
              <c:numCache>
                <c:formatCode>General</c:formatCode>
                <c:ptCount val="730"/>
                <c:pt idx="0">
                  <c:v>14.75</c:v>
                </c:pt>
                <c:pt idx="1">
                  <c:v>14.43125</c:v>
                </c:pt>
                <c:pt idx="2">
                  <c:v>15.59375</c:v>
                </c:pt>
                <c:pt idx="3">
                  <c:v>17.824999999999999</c:v>
                </c:pt>
                <c:pt idx="4">
                  <c:v>18.137499999999999</c:v>
                </c:pt>
                <c:pt idx="5">
                  <c:v>20.918749999999999</c:v>
                </c:pt>
                <c:pt idx="6">
                  <c:v>24.037500000000001</c:v>
                </c:pt>
                <c:pt idx="7">
                  <c:v>27.975000000000001</c:v>
                </c:pt>
                <c:pt idx="8">
                  <c:v>31.618749999999999</c:v>
                </c:pt>
                <c:pt idx="9">
                  <c:v>27.806249999999999</c:v>
                </c:pt>
                <c:pt idx="10">
                  <c:v>21.681249999999999</c:v>
                </c:pt>
                <c:pt idx="11">
                  <c:v>19.912500000000001</c:v>
                </c:pt>
                <c:pt idx="12">
                  <c:v>18.2</c:v>
                </c:pt>
                <c:pt idx="13">
                  <c:v>20.893750000000001</c:v>
                </c:pt>
                <c:pt idx="14">
                  <c:v>25.231249999999999</c:v>
                </c:pt>
                <c:pt idx="15">
                  <c:v>28.524999999999999</c:v>
                </c:pt>
                <c:pt idx="16">
                  <c:v>27.862500000000001</c:v>
                </c:pt>
                <c:pt idx="17">
                  <c:v>20.824999999999999</c:v>
                </c:pt>
                <c:pt idx="18">
                  <c:v>24.09375</c:v>
                </c:pt>
                <c:pt idx="19">
                  <c:v>23.45</c:v>
                </c:pt>
                <c:pt idx="20">
                  <c:v>20.975000000000001</c:v>
                </c:pt>
                <c:pt idx="21">
                  <c:v>22.206250000000001</c:v>
                </c:pt>
                <c:pt idx="22">
                  <c:v>28.84375</c:v>
                </c:pt>
                <c:pt idx="23">
                  <c:v>22.131250000000001</c:v>
                </c:pt>
                <c:pt idx="24">
                  <c:v>21.318750000000001</c:v>
                </c:pt>
                <c:pt idx="25">
                  <c:v>22.681249999999999</c:v>
                </c:pt>
                <c:pt idx="26">
                  <c:v>23.59375</c:v>
                </c:pt>
                <c:pt idx="27">
                  <c:v>24.306249999999999</c:v>
                </c:pt>
                <c:pt idx="28">
                  <c:v>28.862500000000001</c:v>
                </c:pt>
                <c:pt idx="29">
                  <c:v>28.875</c:v>
                </c:pt>
                <c:pt idx="30">
                  <c:v>27.46875</c:v>
                </c:pt>
                <c:pt idx="31">
                  <c:v>22.868749999999999</c:v>
                </c:pt>
                <c:pt idx="32">
                  <c:v>24.725000000000001</c:v>
                </c:pt>
                <c:pt idx="33">
                  <c:v>27.393750000000001</c:v>
                </c:pt>
                <c:pt idx="34">
                  <c:v>28.21875</c:v>
                </c:pt>
                <c:pt idx="35">
                  <c:v>32.037500000000001</c:v>
                </c:pt>
                <c:pt idx="36">
                  <c:v>34.225000000000001</c:v>
                </c:pt>
                <c:pt idx="37">
                  <c:v>32.006259999999997</c:v>
                </c:pt>
                <c:pt idx="38">
                  <c:v>34.543750000000003</c:v>
                </c:pt>
                <c:pt idx="39">
                  <c:v>34.387500000000003</c:v>
                </c:pt>
                <c:pt idx="40">
                  <c:v>28.293749999999999</c:v>
                </c:pt>
                <c:pt idx="41">
                  <c:v>27.125</c:v>
                </c:pt>
                <c:pt idx="42">
                  <c:v>28.081250000000001</c:v>
                </c:pt>
                <c:pt idx="43">
                  <c:v>26.743749999999999</c:v>
                </c:pt>
                <c:pt idx="44">
                  <c:v>29.787500000000001</c:v>
                </c:pt>
                <c:pt idx="45">
                  <c:v>24.606249999999999</c:v>
                </c:pt>
                <c:pt idx="46">
                  <c:v>18.893750000000001</c:v>
                </c:pt>
                <c:pt idx="47">
                  <c:v>19.131250000000001</c:v>
                </c:pt>
                <c:pt idx="48">
                  <c:v>24.431249999999999</c:v>
                </c:pt>
                <c:pt idx="49">
                  <c:v>19.868749999999999</c:v>
                </c:pt>
                <c:pt idx="50">
                  <c:v>17.918749999999999</c:v>
                </c:pt>
                <c:pt idx="51">
                  <c:v>19.393750000000001</c:v>
                </c:pt>
                <c:pt idx="52">
                  <c:v>22.356249999999999</c:v>
                </c:pt>
                <c:pt idx="53">
                  <c:v>20.993749999999999</c:v>
                </c:pt>
                <c:pt idx="54">
                  <c:v>22.21875</c:v>
                </c:pt>
                <c:pt idx="55">
                  <c:v>24.875</c:v>
                </c:pt>
                <c:pt idx="56">
                  <c:v>25.162500000000001</c:v>
                </c:pt>
                <c:pt idx="57">
                  <c:v>23.575009999999999</c:v>
                </c:pt>
                <c:pt idx="58">
                  <c:v>20.662500000000001</c:v>
                </c:pt>
                <c:pt idx="59">
                  <c:v>23.543749999999999</c:v>
                </c:pt>
                <c:pt idx="60">
                  <c:v>24.256250000000001</c:v>
                </c:pt>
                <c:pt idx="61">
                  <c:v>25.168749999999999</c:v>
                </c:pt>
                <c:pt idx="62">
                  <c:v>27.175000000000001</c:v>
                </c:pt>
                <c:pt idx="63">
                  <c:v>22.587499999999999</c:v>
                </c:pt>
                <c:pt idx="64">
                  <c:v>17.493749999999999</c:v>
                </c:pt>
                <c:pt idx="65">
                  <c:v>19</c:v>
                </c:pt>
                <c:pt idx="66">
                  <c:v>21.043749999999999</c:v>
                </c:pt>
                <c:pt idx="67">
                  <c:v>19.274999999999999</c:v>
                </c:pt>
                <c:pt idx="68">
                  <c:v>21.0625</c:v>
                </c:pt>
                <c:pt idx="69">
                  <c:v>16.137499999999999</c:v>
                </c:pt>
                <c:pt idx="70">
                  <c:v>15.28125</c:v>
                </c:pt>
                <c:pt idx="71">
                  <c:v>18.600000000000001</c:v>
                </c:pt>
                <c:pt idx="72">
                  <c:v>18.3</c:v>
                </c:pt>
                <c:pt idx="73">
                  <c:v>21.3</c:v>
                </c:pt>
                <c:pt idx="74">
                  <c:v>22.056249999999999</c:v>
                </c:pt>
                <c:pt idx="75">
                  <c:v>24.212499999999999</c:v>
                </c:pt>
                <c:pt idx="76">
                  <c:v>26.225000000000001</c:v>
                </c:pt>
                <c:pt idx="77">
                  <c:v>20.881250000000001</c:v>
                </c:pt>
                <c:pt idx="78">
                  <c:v>16.45</c:v>
                </c:pt>
                <c:pt idx="79">
                  <c:v>14.893750000000001</c:v>
                </c:pt>
                <c:pt idx="80">
                  <c:v>18.118749999999999</c:v>
                </c:pt>
                <c:pt idx="81">
                  <c:v>18.693750000000001</c:v>
                </c:pt>
                <c:pt idx="82">
                  <c:v>19.143750000000001</c:v>
                </c:pt>
                <c:pt idx="83">
                  <c:v>19.25</c:v>
                </c:pt>
                <c:pt idx="84">
                  <c:v>21.46875</c:v>
                </c:pt>
                <c:pt idx="85">
                  <c:v>23.53125</c:v>
                </c:pt>
                <c:pt idx="86">
                  <c:v>18.856249999999999</c:v>
                </c:pt>
                <c:pt idx="87">
                  <c:v>13.00625</c:v>
                </c:pt>
                <c:pt idx="88">
                  <c:v>12.65</c:v>
                </c:pt>
                <c:pt idx="89">
                  <c:v>14.025</c:v>
                </c:pt>
                <c:pt idx="90">
                  <c:v>17.125</c:v>
                </c:pt>
                <c:pt idx="91">
                  <c:v>18.15625</c:v>
                </c:pt>
                <c:pt idx="92">
                  <c:v>15.06875</c:v>
                </c:pt>
                <c:pt idx="93">
                  <c:v>14.8375</c:v>
                </c:pt>
                <c:pt idx="94">
                  <c:v>17.637499999999999</c:v>
                </c:pt>
                <c:pt idx="95">
                  <c:v>19.331250000000001</c:v>
                </c:pt>
                <c:pt idx="96">
                  <c:v>20.85</c:v>
                </c:pt>
                <c:pt idx="97">
                  <c:v>17.018750000000001</c:v>
                </c:pt>
                <c:pt idx="98">
                  <c:v>17.40625</c:v>
                </c:pt>
                <c:pt idx="99">
                  <c:v>15.637499999999999</c:v>
                </c:pt>
                <c:pt idx="100">
                  <c:v>16.743749999999999</c:v>
                </c:pt>
                <c:pt idx="101">
                  <c:v>17.21875</c:v>
                </c:pt>
                <c:pt idx="102">
                  <c:v>17.393750000000001</c:v>
                </c:pt>
                <c:pt idx="103">
                  <c:v>19.90626</c:v>
                </c:pt>
                <c:pt idx="104">
                  <c:v>20.425000000000001</c:v>
                </c:pt>
                <c:pt idx="105">
                  <c:v>21.574999999999999</c:v>
                </c:pt>
                <c:pt idx="106">
                  <c:v>22.15</c:v>
                </c:pt>
                <c:pt idx="107">
                  <c:v>22.493749999999999</c:v>
                </c:pt>
                <c:pt idx="108">
                  <c:v>21.462499999999999</c:v>
                </c:pt>
                <c:pt idx="109">
                  <c:v>18.59375</c:v>
                </c:pt>
                <c:pt idx="110">
                  <c:v>21.337499999999999</c:v>
                </c:pt>
                <c:pt idx="111">
                  <c:v>17.318750000000001</c:v>
                </c:pt>
                <c:pt idx="112">
                  <c:v>15.05</c:v>
                </c:pt>
                <c:pt idx="113">
                  <c:v>15.225</c:v>
                </c:pt>
                <c:pt idx="114">
                  <c:v>14.06875</c:v>
                </c:pt>
                <c:pt idx="115">
                  <c:v>13.625</c:v>
                </c:pt>
                <c:pt idx="116">
                  <c:v>15.025</c:v>
                </c:pt>
                <c:pt idx="117">
                  <c:v>12.85</c:v>
                </c:pt>
                <c:pt idx="118">
                  <c:v>13.375</c:v>
                </c:pt>
                <c:pt idx="119">
                  <c:v>16.106249999999999</c:v>
                </c:pt>
                <c:pt idx="120">
                  <c:v>16.425000000000001</c:v>
                </c:pt>
                <c:pt idx="121">
                  <c:v>14.1</c:v>
                </c:pt>
                <c:pt idx="122">
                  <c:v>11.475</c:v>
                </c:pt>
                <c:pt idx="123">
                  <c:v>12.44375</c:v>
                </c:pt>
                <c:pt idx="124">
                  <c:v>13.481249999999999</c:v>
                </c:pt>
                <c:pt idx="125">
                  <c:v>10.125</c:v>
                </c:pt>
                <c:pt idx="126">
                  <c:v>9.5562509999999996</c:v>
                </c:pt>
                <c:pt idx="127">
                  <c:v>9.8062509999999996</c:v>
                </c:pt>
                <c:pt idx="128">
                  <c:v>9.7875019999999999</c:v>
                </c:pt>
                <c:pt idx="129">
                  <c:v>12.6875</c:v>
                </c:pt>
                <c:pt idx="130">
                  <c:v>14.456250000000001</c:v>
                </c:pt>
                <c:pt idx="131">
                  <c:v>14.8375</c:v>
                </c:pt>
                <c:pt idx="132">
                  <c:v>14.987500000000001</c:v>
                </c:pt>
                <c:pt idx="133">
                  <c:v>16.987500000000001</c:v>
                </c:pt>
                <c:pt idx="134">
                  <c:v>12.96875</c:v>
                </c:pt>
                <c:pt idx="135">
                  <c:v>12.543749999999999</c:v>
                </c:pt>
                <c:pt idx="136">
                  <c:v>12.512499999999999</c:v>
                </c:pt>
                <c:pt idx="137">
                  <c:v>12.18125</c:v>
                </c:pt>
                <c:pt idx="138">
                  <c:v>12.4</c:v>
                </c:pt>
                <c:pt idx="139">
                  <c:v>12.175000000000001</c:v>
                </c:pt>
                <c:pt idx="140">
                  <c:v>10.53125</c:v>
                </c:pt>
                <c:pt idx="141">
                  <c:v>9.5500000000000007</c:v>
                </c:pt>
                <c:pt idx="142">
                  <c:v>8.9000020000000006</c:v>
                </c:pt>
                <c:pt idx="143">
                  <c:v>9.3500010000000007</c:v>
                </c:pt>
                <c:pt idx="144">
                  <c:v>9.1312519999999999</c:v>
                </c:pt>
                <c:pt idx="145">
                  <c:v>8.3812510000000007</c:v>
                </c:pt>
                <c:pt idx="146">
                  <c:v>9.2187509999999993</c:v>
                </c:pt>
                <c:pt idx="147">
                  <c:v>9.5375010000000007</c:v>
                </c:pt>
                <c:pt idx="148">
                  <c:v>10.725</c:v>
                </c:pt>
                <c:pt idx="149">
                  <c:v>10.84375</c:v>
                </c:pt>
                <c:pt idx="150">
                  <c:v>11.324999999999999</c:v>
                </c:pt>
                <c:pt idx="151">
                  <c:v>10.88125</c:v>
                </c:pt>
                <c:pt idx="152">
                  <c:v>12.112500000000001</c:v>
                </c:pt>
                <c:pt idx="153">
                  <c:v>12.6875</c:v>
                </c:pt>
                <c:pt idx="154">
                  <c:v>9.4437499999999996</c:v>
                </c:pt>
                <c:pt idx="155">
                  <c:v>9.4187519999999996</c:v>
                </c:pt>
                <c:pt idx="156">
                  <c:v>8.6500020000000006</c:v>
                </c:pt>
                <c:pt idx="157">
                  <c:v>7.7874999999999996</c:v>
                </c:pt>
                <c:pt idx="158">
                  <c:v>7.8187499999999996</c:v>
                </c:pt>
                <c:pt idx="159">
                  <c:v>7.8562510000000003</c:v>
                </c:pt>
                <c:pt idx="160">
                  <c:v>11.3375</c:v>
                </c:pt>
                <c:pt idx="161">
                  <c:v>7.7625000000000002</c:v>
                </c:pt>
                <c:pt idx="162">
                  <c:v>7.9749999999999996</c:v>
                </c:pt>
                <c:pt idx="163">
                  <c:v>12.518750000000001</c:v>
                </c:pt>
                <c:pt idx="164">
                  <c:v>11.56875</c:v>
                </c:pt>
                <c:pt idx="165">
                  <c:v>12.18125</c:v>
                </c:pt>
                <c:pt idx="166">
                  <c:v>10.75</c:v>
                </c:pt>
                <c:pt idx="167">
                  <c:v>9.7750020000000006</c:v>
                </c:pt>
                <c:pt idx="168">
                  <c:v>7.3062509999999996</c:v>
                </c:pt>
                <c:pt idx="169">
                  <c:v>10.19375</c:v>
                </c:pt>
                <c:pt idx="170">
                  <c:v>12.331250000000001</c:v>
                </c:pt>
                <c:pt idx="171">
                  <c:v>12.78125</c:v>
                </c:pt>
                <c:pt idx="172">
                  <c:v>11.043749999999999</c:v>
                </c:pt>
                <c:pt idx="173">
                  <c:v>8.9937520000000006</c:v>
                </c:pt>
                <c:pt idx="174">
                  <c:v>11.5375</c:v>
                </c:pt>
                <c:pt idx="175">
                  <c:v>12.025</c:v>
                </c:pt>
                <c:pt idx="176">
                  <c:v>11.643750000000001</c:v>
                </c:pt>
                <c:pt idx="177">
                  <c:v>11.4125</c:v>
                </c:pt>
                <c:pt idx="178">
                  <c:v>12.481249999999999</c:v>
                </c:pt>
                <c:pt idx="179">
                  <c:v>11.987500000000001</c:v>
                </c:pt>
                <c:pt idx="180">
                  <c:v>13.275</c:v>
                </c:pt>
                <c:pt idx="181">
                  <c:v>10.4</c:v>
                </c:pt>
                <c:pt idx="182">
                  <c:v>8.2437520000000006</c:v>
                </c:pt>
                <c:pt idx="183">
                  <c:v>10.25</c:v>
                </c:pt>
                <c:pt idx="184">
                  <c:v>10.893750000000001</c:v>
                </c:pt>
                <c:pt idx="185">
                  <c:v>12</c:v>
                </c:pt>
                <c:pt idx="186">
                  <c:v>10.3375</c:v>
                </c:pt>
                <c:pt idx="187">
                  <c:v>13.05</c:v>
                </c:pt>
                <c:pt idx="188">
                  <c:v>12.81875</c:v>
                </c:pt>
                <c:pt idx="189">
                  <c:v>9.1812509999999996</c:v>
                </c:pt>
                <c:pt idx="190">
                  <c:v>7.75</c:v>
                </c:pt>
                <c:pt idx="191">
                  <c:v>6.737501</c:v>
                </c:pt>
                <c:pt idx="192">
                  <c:v>8.643751</c:v>
                </c:pt>
                <c:pt idx="193">
                  <c:v>6.8875000000000002</c:v>
                </c:pt>
                <c:pt idx="194">
                  <c:v>5.9375</c:v>
                </c:pt>
                <c:pt idx="195">
                  <c:v>7.831251</c:v>
                </c:pt>
                <c:pt idx="196">
                  <c:v>9.5250020000000006</c:v>
                </c:pt>
                <c:pt idx="197">
                  <c:v>12.762499999999999</c:v>
                </c:pt>
                <c:pt idx="198">
                  <c:v>9.5437510000000003</c:v>
                </c:pt>
                <c:pt idx="199">
                  <c:v>6.3250000000000002</c:v>
                </c:pt>
                <c:pt idx="200">
                  <c:v>10.612500000000001</c:v>
                </c:pt>
                <c:pt idx="201">
                  <c:v>10.106249999999999</c:v>
                </c:pt>
                <c:pt idx="202">
                  <c:v>10.375</c:v>
                </c:pt>
                <c:pt idx="203">
                  <c:v>11.706250000000001</c:v>
                </c:pt>
                <c:pt idx="204">
                  <c:v>14.375</c:v>
                </c:pt>
                <c:pt idx="205">
                  <c:v>13.0625</c:v>
                </c:pt>
                <c:pt idx="206">
                  <c:v>8.8812499999999996</c:v>
                </c:pt>
                <c:pt idx="207">
                  <c:v>9.1937510000000007</c:v>
                </c:pt>
                <c:pt idx="208">
                  <c:v>11.19375</c:v>
                </c:pt>
                <c:pt idx="209">
                  <c:v>9.1875020000000003</c:v>
                </c:pt>
                <c:pt idx="210">
                  <c:v>10.06875</c:v>
                </c:pt>
                <c:pt idx="211">
                  <c:v>11</c:v>
                </c:pt>
                <c:pt idx="212">
                  <c:v>10.21875</c:v>
                </c:pt>
                <c:pt idx="213">
                  <c:v>9.8562519999999996</c:v>
                </c:pt>
                <c:pt idx="214">
                  <c:v>10.9125</c:v>
                </c:pt>
                <c:pt idx="215">
                  <c:v>9.6000010000000007</c:v>
                </c:pt>
                <c:pt idx="216">
                  <c:v>8.7875010000000007</c:v>
                </c:pt>
                <c:pt idx="217">
                  <c:v>10.112500000000001</c:v>
                </c:pt>
                <c:pt idx="218">
                  <c:v>7.46875</c:v>
                </c:pt>
                <c:pt idx="219">
                  <c:v>8.3312500000000007</c:v>
                </c:pt>
                <c:pt idx="220">
                  <c:v>12.237500000000001</c:v>
                </c:pt>
                <c:pt idx="221">
                  <c:v>8.7937510000000003</c:v>
                </c:pt>
                <c:pt idx="222">
                  <c:v>7.3187499999999996</c:v>
                </c:pt>
                <c:pt idx="223">
                  <c:v>9.5500019999999992</c:v>
                </c:pt>
                <c:pt idx="224">
                  <c:v>11.05</c:v>
                </c:pt>
                <c:pt idx="225">
                  <c:v>13.9</c:v>
                </c:pt>
                <c:pt idx="226">
                  <c:v>9.4124999999999996</c:v>
                </c:pt>
                <c:pt idx="227">
                  <c:v>8.3687509999999996</c:v>
                </c:pt>
                <c:pt idx="228">
                  <c:v>7.5812499999999998</c:v>
                </c:pt>
                <c:pt idx="229">
                  <c:v>10.481249999999999</c:v>
                </c:pt>
                <c:pt idx="230">
                  <c:v>9.3312519999999992</c:v>
                </c:pt>
                <c:pt idx="231">
                  <c:v>10.5875</c:v>
                </c:pt>
                <c:pt idx="232">
                  <c:v>11.637499999999999</c:v>
                </c:pt>
                <c:pt idx="233">
                  <c:v>13.418749999999999</c:v>
                </c:pt>
                <c:pt idx="234">
                  <c:v>12.4375</c:v>
                </c:pt>
                <c:pt idx="235">
                  <c:v>10.856249999999999</c:v>
                </c:pt>
                <c:pt idx="236">
                  <c:v>10.8125</c:v>
                </c:pt>
                <c:pt idx="237">
                  <c:v>11.34375</c:v>
                </c:pt>
                <c:pt idx="238">
                  <c:v>12.0625</c:v>
                </c:pt>
                <c:pt idx="239">
                  <c:v>11.831250000000001</c:v>
                </c:pt>
                <c:pt idx="240">
                  <c:v>10.4125</c:v>
                </c:pt>
                <c:pt idx="241">
                  <c:v>7.987501</c:v>
                </c:pt>
                <c:pt idx="242">
                  <c:v>8.956251</c:v>
                </c:pt>
                <c:pt idx="243">
                  <c:v>9.3750009999999993</c:v>
                </c:pt>
                <c:pt idx="244">
                  <c:v>11.706250000000001</c:v>
                </c:pt>
                <c:pt idx="245">
                  <c:v>14.5875</c:v>
                </c:pt>
                <c:pt idx="246">
                  <c:v>12.175000000000001</c:v>
                </c:pt>
                <c:pt idx="247">
                  <c:v>12.55625</c:v>
                </c:pt>
                <c:pt idx="248">
                  <c:v>12.775</c:v>
                </c:pt>
                <c:pt idx="249">
                  <c:v>15.86875</c:v>
                </c:pt>
                <c:pt idx="250">
                  <c:v>20.149999999999999</c:v>
                </c:pt>
                <c:pt idx="251">
                  <c:v>13.40625</c:v>
                </c:pt>
                <c:pt idx="252">
                  <c:v>9.5750019999999996</c:v>
                </c:pt>
                <c:pt idx="253">
                  <c:v>10.24375</c:v>
                </c:pt>
                <c:pt idx="254">
                  <c:v>11.09375</c:v>
                </c:pt>
                <c:pt idx="255">
                  <c:v>11.231249999999999</c:v>
                </c:pt>
                <c:pt idx="256">
                  <c:v>12.9375</c:v>
                </c:pt>
                <c:pt idx="257">
                  <c:v>8.3312500000000007</c:v>
                </c:pt>
                <c:pt idx="258">
                  <c:v>8.5187500000000007</c:v>
                </c:pt>
                <c:pt idx="259">
                  <c:v>11.80625</c:v>
                </c:pt>
                <c:pt idx="260">
                  <c:v>12.46875</c:v>
                </c:pt>
                <c:pt idx="261">
                  <c:v>9.3500010000000007</c:v>
                </c:pt>
                <c:pt idx="262">
                  <c:v>12.768750000000001</c:v>
                </c:pt>
                <c:pt idx="263">
                  <c:v>11.86875</c:v>
                </c:pt>
                <c:pt idx="264">
                  <c:v>13.456250000000001</c:v>
                </c:pt>
                <c:pt idx="265">
                  <c:v>11.625</c:v>
                </c:pt>
                <c:pt idx="266">
                  <c:v>10.862500000000001</c:v>
                </c:pt>
                <c:pt idx="267">
                  <c:v>9.0312509999999993</c:v>
                </c:pt>
                <c:pt idx="268">
                  <c:v>9.050001</c:v>
                </c:pt>
                <c:pt idx="269">
                  <c:v>10.050000000000001</c:v>
                </c:pt>
                <c:pt idx="270">
                  <c:v>11.53125</c:v>
                </c:pt>
                <c:pt idx="271">
                  <c:v>12.775</c:v>
                </c:pt>
                <c:pt idx="272">
                  <c:v>12.975</c:v>
                </c:pt>
                <c:pt idx="273">
                  <c:v>16.7</c:v>
                </c:pt>
                <c:pt idx="274">
                  <c:v>20.5</c:v>
                </c:pt>
                <c:pt idx="275">
                  <c:v>16.824999999999999</c:v>
                </c:pt>
                <c:pt idx="276">
                  <c:v>26.068750000000001</c:v>
                </c:pt>
                <c:pt idx="277">
                  <c:v>23.85</c:v>
                </c:pt>
                <c:pt idx="278">
                  <c:v>18.393750000000001</c:v>
                </c:pt>
                <c:pt idx="279">
                  <c:v>23.256250000000001</c:v>
                </c:pt>
                <c:pt idx="280">
                  <c:v>14.775</c:v>
                </c:pt>
                <c:pt idx="281">
                  <c:v>13.24375</c:v>
                </c:pt>
                <c:pt idx="282">
                  <c:v>15.206250000000001</c:v>
                </c:pt>
                <c:pt idx="283">
                  <c:v>19.21875</c:v>
                </c:pt>
                <c:pt idx="284">
                  <c:v>15.78125</c:v>
                </c:pt>
                <c:pt idx="285">
                  <c:v>14.425000000000001</c:v>
                </c:pt>
                <c:pt idx="286">
                  <c:v>11.59375</c:v>
                </c:pt>
                <c:pt idx="287">
                  <c:v>12.40625</c:v>
                </c:pt>
                <c:pt idx="288">
                  <c:v>16.981249999999999</c:v>
                </c:pt>
                <c:pt idx="289">
                  <c:v>16.28125</c:v>
                </c:pt>
                <c:pt idx="290">
                  <c:v>14.487500000000001</c:v>
                </c:pt>
                <c:pt idx="291">
                  <c:v>16.587499999999999</c:v>
                </c:pt>
                <c:pt idx="292">
                  <c:v>12.918749999999999</c:v>
                </c:pt>
                <c:pt idx="293">
                  <c:v>15.143750000000001</c:v>
                </c:pt>
                <c:pt idx="294">
                  <c:v>13.1625</c:v>
                </c:pt>
                <c:pt idx="295">
                  <c:v>15.1</c:v>
                </c:pt>
                <c:pt idx="296">
                  <c:v>15.918749999999999</c:v>
                </c:pt>
                <c:pt idx="297">
                  <c:v>13.6875</c:v>
                </c:pt>
                <c:pt idx="298">
                  <c:v>16.725000000000001</c:v>
                </c:pt>
                <c:pt idx="299">
                  <c:v>21.668749999999999</c:v>
                </c:pt>
                <c:pt idx="300">
                  <c:v>20.662500000000001</c:v>
                </c:pt>
                <c:pt idx="301">
                  <c:v>12.6625</c:v>
                </c:pt>
                <c:pt idx="302">
                  <c:v>13.581250000000001</c:v>
                </c:pt>
                <c:pt idx="303">
                  <c:v>15</c:v>
                </c:pt>
                <c:pt idx="304">
                  <c:v>16.100000000000001</c:v>
                </c:pt>
                <c:pt idx="305">
                  <c:v>15.331250000000001</c:v>
                </c:pt>
                <c:pt idx="306">
                  <c:v>16.15625</c:v>
                </c:pt>
                <c:pt idx="307">
                  <c:v>20.931249999999999</c:v>
                </c:pt>
                <c:pt idx="308">
                  <c:v>17.625</c:v>
                </c:pt>
                <c:pt idx="309">
                  <c:v>15.518750000000001</c:v>
                </c:pt>
                <c:pt idx="310">
                  <c:v>17.78125</c:v>
                </c:pt>
                <c:pt idx="311">
                  <c:v>21.006250000000001</c:v>
                </c:pt>
                <c:pt idx="312">
                  <c:v>24.925000000000001</c:v>
                </c:pt>
                <c:pt idx="313">
                  <c:v>22.8</c:v>
                </c:pt>
                <c:pt idx="314">
                  <c:v>18.5</c:v>
                </c:pt>
                <c:pt idx="315">
                  <c:v>18.462499999999999</c:v>
                </c:pt>
                <c:pt idx="316">
                  <c:v>17.931249999999999</c:v>
                </c:pt>
                <c:pt idx="317">
                  <c:v>15.34375</c:v>
                </c:pt>
                <c:pt idx="318">
                  <c:v>10.1625</c:v>
                </c:pt>
                <c:pt idx="319">
                  <c:v>13.0625</c:v>
                </c:pt>
                <c:pt idx="320">
                  <c:v>15.55</c:v>
                </c:pt>
                <c:pt idx="321">
                  <c:v>16.162500000000001</c:v>
                </c:pt>
                <c:pt idx="322">
                  <c:v>17.45</c:v>
                </c:pt>
                <c:pt idx="323">
                  <c:v>21.518750000000001</c:v>
                </c:pt>
                <c:pt idx="324">
                  <c:v>22.587499999999999</c:v>
                </c:pt>
                <c:pt idx="325">
                  <c:v>23.206250000000001</c:v>
                </c:pt>
                <c:pt idx="326">
                  <c:v>25.59375</c:v>
                </c:pt>
                <c:pt idx="327">
                  <c:v>25.762499999999999</c:v>
                </c:pt>
                <c:pt idx="328">
                  <c:v>19.75</c:v>
                </c:pt>
                <c:pt idx="329">
                  <c:v>17.118749999999999</c:v>
                </c:pt>
                <c:pt idx="330">
                  <c:v>21.9</c:v>
                </c:pt>
                <c:pt idx="331">
                  <c:v>24.45</c:v>
                </c:pt>
                <c:pt idx="332">
                  <c:v>22.331250000000001</c:v>
                </c:pt>
                <c:pt idx="333">
                  <c:v>25.056249999999999</c:v>
                </c:pt>
                <c:pt idx="334">
                  <c:v>24.181249999999999</c:v>
                </c:pt>
                <c:pt idx="335">
                  <c:v>26.6</c:v>
                </c:pt>
                <c:pt idx="336">
                  <c:v>31.737500000000001</c:v>
                </c:pt>
                <c:pt idx="337">
                  <c:v>29.53125</c:v>
                </c:pt>
                <c:pt idx="338">
                  <c:v>18.331250000000001</c:v>
                </c:pt>
                <c:pt idx="339">
                  <c:v>17.581250000000001</c:v>
                </c:pt>
                <c:pt idx="340">
                  <c:v>20.193750000000001</c:v>
                </c:pt>
                <c:pt idx="341">
                  <c:v>20.90625</c:v>
                </c:pt>
                <c:pt idx="342">
                  <c:v>20.387499999999999</c:v>
                </c:pt>
                <c:pt idx="343">
                  <c:v>14.525</c:v>
                </c:pt>
                <c:pt idx="344">
                  <c:v>18.018750000000001</c:v>
                </c:pt>
                <c:pt idx="345">
                  <c:v>21.637499999999999</c:v>
                </c:pt>
                <c:pt idx="346">
                  <c:v>25.725000000000001</c:v>
                </c:pt>
                <c:pt idx="347">
                  <c:v>20.518750000000001</c:v>
                </c:pt>
                <c:pt idx="348">
                  <c:v>20.556249999999999</c:v>
                </c:pt>
                <c:pt idx="349">
                  <c:v>22.59375</c:v>
                </c:pt>
                <c:pt idx="350">
                  <c:v>27.556249999999999</c:v>
                </c:pt>
                <c:pt idx="351">
                  <c:v>23.418749999999999</c:v>
                </c:pt>
                <c:pt idx="352">
                  <c:v>19.5</c:v>
                </c:pt>
                <c:pt idx="353">
                  <c:v>24.09375</c:v>
                </c:pt>
                <c:pt idx="354">
                  <c:v>24.9375</c:v>
                </c:pt>
                <c:pt idx="355">
                  <c:v>25.693750000000001</c:v>
                </c:pt>
                <c:pt idx="356">
                  <c:v>21.024999999999999</c:v>
                </c:pt>
                <c:pt idx="357">
                  <c:v>19.106249999999999</c:v>
                </c:pt>
                <c:pt idx="358">
                  <c:v>23.787500000000001</c:v>
                </c:pt>
                <c:pt idx="359">
                  <c:v>29.787500000000001</c:v>
                </c:pt>
                <c:pt idx="360">
                  <c:v>28.512499999999999</c:v>
                </c:pt>
                <c:pt idx="361">
                  <c:v>19.618749999999999</c:v>
                </c:pt>
                <c:pt idx="362">
                  <c:v>16.45</c:v>
                </c:pt>
                <c:pt idx="363">
                  <c:v>15.612500000000001</c:v>
                </c:pt>
                <c:pt idx="364">
                  <c:v>15.725</c:v>
                </c:pt>
                <c:pt idx="365">
                  <c:v>18.5</c:v>
                </c:pt>
                <c:pt idx="366">
                  <c:v>19.418749999999999</c:v>
                </c:pt>
                <c:pt idx="367">
                  <c:v>19.524999999999999</c:v>
                </c:pt>
                <c:pt idx="368">
                  <c:v>21.03125</c:v>
                </c:pt>
                <c:pt idx="369">
                  <c:v>23.931249999999999</c:v>
                </c:pt>
                <c:pt idx="370">
                  <c:v>28.037500000000001</c:v>
                </c:pt>
                <c:pt idx="371">
                  <c:v>30.893750000000001</c:v>
                </c:pt>
                <c:pt idx="372">
                  <c:v>33.087499999999999</c:v>
                </c:pt>
                <c:pt idx="373">
                  <c:v>24.78125</c:v>
                </c:pt>
                <c:pt idx="374">
                  <c:v>22.3125</c:v>
                </c:pt>
                <c:pt idx="375">
                  <c:v>27.443750000000001</c:v>
                </c:pt>
                <c:pt idx="376">
                  <c:v>24.181249999999999</c:v>
                </c:pt>
                <c:pt idx="377">
                  <c:v>25.793749999999999</c:v>
                </c:pt>
                <c:pt idx="378">
                  <c:v>28.481249999999999</c:v>
                </c:pt>
                <c:pt idx="379">
                  <c:v>29.725010000000001</c:v>
                </c:pt>
                <c:pt idx="380">
                  <c:v>21.918749999999999</c:v>
                </c:pt>
                <c:pt idx="381">
                  <c:v>20.34375</c:v>
                </c:pt>
                <c:pt idx="382">
                  <c:v>20.443750000000001</c:v>
                </c:pt>
                <c:pt idx="383">
                  <c:v>21.543749999999999</c:v>
                </c:pt>
                <c:pt idx="384">
                  <c:v>25.487500000000001</c:v>
                </c:pt>
                <c:pt idx="385">
                  <c:v>25.456250000000001</c:v>
                </c:pt>
                <c:pt idx="386">
                  <c:v>26.487500000000001</c:v>
                </c:pt>
                <c:pt idx="387">
                  <c:v>26.131250000000001</c:v>
                </c:pt>
                <c:pt idx="388">
                  <c:v>27.462499999999999</c:v>
                </c:pt>
                <c:pt idx="389">
                  <c:v>28.45</c:v>
                </c:pt>
                <c:pt idx="390">
                  <c:v>22.568750000000001</c:v>
                </c:pt>
                <c:pt idx="391">
                  <c:v>23.143750000000001</c:v>
                </c:pt>
                <c:pt idx="392">
                  <c:v>22.274999999999999</c:v>
                </c:pt>
                <c:pt idx="393">
                  <c:v>18.6875</c:v>
                </c:pt>
                <c:pt idx="394">
                  <c:v>18.1875</c:v>
                </c:pt>
                <c:pt idx="395">
                  <c:v>17.856249999999999</c:v>
                </c:pt>
                <c:pt idx="396">
                  <c:v>20.09375</c:v>
                </c:pt>
                <c:pt idx="397">
                  <c:v>20.675000000000001</c:v>
                </c:pt>
                <c:pt idx="398">
                  <c:v>20.012499999999999</c:v>
                </c:pt>
                <c:pt idx="399">
                  <c:v>22.956250000000001</c:v>
                </c:pt>
                <c:pt idx="400">
                  <c:v>23.375</c:v>
                </c:pt>
                <c:pt idx="401">
                  <c:v>24.643750000000001</c:v>
                </c:pt>
                <c:pt idx="402">
                  <c:v>26.381250000000001</c:v>
                </c:pt>
                <c:pt idx="403">
                  <c:v>27.737500000000001</c:v>
                </c:pt>
                <c:pt idx="404">
                  <c:v>20.943750000000001</c:v>
                </c:pt>
                <c:pt idx="405">
                  <c:v>18.818750000000001</c:v>
                </c:pt>
                <c:pt idx="406">
                  <c:v>19.400010000000002</c:v>
                </c:pt>
                <c:pt idx="407">
                  <c:v>22.581250000000001</c:v>
                </c:pt>
                <c:pt idx="408">
                  <c:v>20.637499999999999</c:v>
                </c:pt>
                <c:pt idx="409">
                  <c:v>23.506250000000001</c:v>
                </c:pt>
                <c:pt idx="410">
                  <c:v>27.262499999999999</c:v>
                </c:pt>
                <c:pt idx="411">
                  <c:v>28.625</c:v>
                </c:pt>
                <c:pt idx="412">
                  <c:v>27.193750000000001</c:v>
                </c:pt>
                <c:pt idx="413">
                  <c:v>28.65625</c:v>
                </c:pt>
                <c:pt idx="414">
                  <c:v>27.975000000000001</c:v>
                </c:pt>
                <c:pt idx="415">
                  <c:v>27.68751</c:v>
                </c:pt>
                <c:pt idx="416">
                  <c:v>24.6875</c:v>
                </c:pt>
                <c:pt idx="417">
                  <c:v>24.53125</c:v>
                </c:pt>
                <c:pt idx="418">
                  <c:v>21.425000000000001</c:v>
                </c:pt>
                <c:pt idx="419">
                  <c:v>20.55</c:v>
                </c:pt>
                <c:pt idx="420">
                  <c:v>25.212499999999999</c:v>
                </c:pt>
                <c:pt idx="421">
                  <c:v>24.675000000000001</c:v>
                </c:pt>
                <c:pt idx="422">
                  <c:v>25.28125</c:v>
                </c:pt>
                <c:pt idx="423">
                  <c:v>26.65</c:v>
                </c:pt>
                <c:pt idx="424">
                  <c:v>26.375</c:v>
                </c:pt>
                <c:pt idx="425">
                  <c:v>23.806260000000002</c:v>
                </c:pt>
                <c:pt idx="426">
                  <c:v>25.274999999999999</c:v>
                </c:pt>
                <c:pt idx="427">
                  <c:v>25.212499999999999</c:v>
                </c:pt>
                <c:pt idx="428">
                  <c:v>24.362500000000001</c:v>
                </c:pt>
                <c:pt idx="429">
                  <c:v>23.725000000000001</c:v>
                </c:pt>
                <c:pt idx="430">
                  <c:v>22.28125</c:v>
                </c:pt>
                <c:pt idx="431">
                  <c:v>22.993749999999999</c:v>
                </c:pt>
                <c:pt idx="432">
                  <c:v>20.131250000000001</c:v>
                </c:pt>
                <c:pt idx="433">
                  <c:v>21.143750000000001</c:v>
                </c:pt>
                <c:pt idx="434">
                  <c:v>22.53125</c:v>
                </c:pt>
                <c:pt idx="435">
                  <c:v>23.256250000000001</c:v>
                </c:pt>
                <c:pt idx="436">
                  <c:v>22.8125</c:v>
                </c:pt>
                <c:pt idx="437">
                  <c:v>24.7</c:v>
                </c:pt>
                <c:pt idx="438">
                  <c:v>22.081250000000001</c:v>
                </c:pt>
                <c:pt idx="439">
                  <c:v>20.118749999999999</c:v>
                </c:pt>
                <c:pt idx="440">
                  <c:v>21.675000000000001</c:v>
                </c:pt>
                <c:pt idx="441">
                  <c:v>24.787500000000001</c:v>
                </c:pt>
                <c:pt idx="442">
                  <c:v>23.581250000000001</c:v>
                </c:pt>
                <c:pt idx="443">
                  <c:v>22.006250000000001</c:v>
                </c:pt>
                <c:pt idx="444">
                  <c:v>20.65</c:v>
                </c:pt>
                <c:pt idx="445">
                  <c:v>23.456250000000001</c:v>
                </c:pt>
                <c:pt idx="446">
                  <c:v>23.293749999999999</c:v>
                </c:pt>
                <c:pt idx="447">
                  <c:v>22.943750000000001</c:v>
                </c:pt>
                <c:pt idx="448">
                  <c:v>25.943750000000001</c:v>
                </c:pt>
                <c:pt idx="449">
                  <c:v>18.981249999999999</c:v>
                </c:pt>
                <c:pt idx="450">
                  <c:v>16.193750000000001</c:v>
                </c:pt>
                <c:pt idx="451">
                  <c:v>20.862500000000001</c:v>
                </c:pt>
                <c:pt idx="452">
                  <c:v>24.618749999999999</c:v>
                </c:pt>
                <c:pt idx="453">
                  <c:v>25.4</c:v>
                </c:pt>
                <c:pt idx="454">
                  <c:v>18.524999999999999</c:v>
                </c:pt>
                <c:pt idx="455">
                  <c:v>22.59375</c:v>
                </c:pt>
                <c:pt idx="456">
                  <c:v>21.368749999999999</c:v>
                </c:pt>
                <c:pt idx="457">
                  <c:v>20.387499999999999</c:v>
                </c:pt>
                <c:pt idx="458">
                  <c:v>20.956250000000001</c:v>
                </c:pt>
                <c:pt idx="459">
                  <c:v>21.537500000000001</c:v>
                </c:pt>
                <c:pt idx="460">
                  <c:v>18.100000000000001</c:v>
                </c:pt>
                <c:pt idx="461">
                  <c:v>20.3</c:v>
                </c:pt>
                <c:pt idx="462">
                  <c:v>22.2</c:v>
                </c:pt>
                <c:pt idx="463">
                  <c:v>23.556249999999999</c:v>
                </c:pt>
                <c:pt idx="464">
                  <c:v>23.7</c:v>
                </c:pt>
                <c:pt idx="465">
                  <c:v>23.112500000000001</c:v>
                </c:pt>
                <c:pt idx="466">
                  <c:v>23.131250000000001</c:v>
                </c:pt>
                <c:pt idx="467">
                  <c:v>21.487500000000001</c:v>
                </c:pt>
                <c:pt idx="468">
                  <c:v>20.96875</c:v>
                </c:pt>
                <c:pt idx="469">
                  <c:v>20.65</c:v>
                </c:pt>
                <c:pt idx="470">
                  <c:v>19.9375</c:v>
                </c:pt>
                <c:pt idx="471">
                  <c:v>15.4125</c:v>
                </c:pt>
                <c:pt idx="472">
                  <c:v>13.36875</c:v>
                </c:pt>
                <c:pt idx="473">
                  <c:v>14.3375</c:v>
                </c:pt>
                <c:pt idx="474">
                  <c:v>14.63125</c:v>
                </c:pt>
                <c:pt idx="475">
                  <c:v>16.375</c:v>
                </c:pt>
                <c:pt idx="476">
                  <c:v>15.643750000000001</c:v>
                </c:pt>
                <c:pt idx="477">
                  <c:v>17.643750000000001</c:v>
                </c:pt>
                <c:pt idx="478">
                  <c:v>18.518750000000001</c:v>
                </c:pt>
                <c:pt idx="479">
                  <c:v>19.018750000000001</c:v>
                </c:pt>
                <c:pt idx="480">
                  <c:v>14.775</c:v>
                </c:pt>
                <c:pt idx="481">
                  <c:v>15.975</c:v>
                </c:pt>
                <c:pt idx="482">
                  <c:v>13.606249999999999</c:v>
                </c:pt>
                <c:pt idx="483">
                  <c:v>13.643750000000001</c:v>
                </c:pt>
                <c:pt idx="484">
                  <c:v>12.65625</c:v>
                </c:pt>
                <c:pt idx="485">
                  <c:v>12.512499999999999</c:v>
                </c:pt>
                <c:pt idx="486">
                  <c:v>13.05</c:v>
                </c:pt>
                <c:pt idx="487">
                  <c:v>14.09375</c:v>
                </c:pt>
                <c:pt idx="488">
                  <c:v>13.4625</c:v>
                </c:pt>
                <c:pt idx="489">
                  <c:v>13.324999999999999</c:v>
                </c:pt>
                <c:pt idx="490">
                  <c:v>13.5875</c:v>
                </c:pt>
                <c:pt idx="491">
                  <c:v>14.168749999999999</c:v>
                </c:pt>
                <c:pt idx="492">
                  <c:v>12.525</c:v>
                </c:pt>
                <c:pt idx="493">
                  <c:v>12.643750000000001</c:v>
                </c:pt>
                <c:pt idx="494">
                  <c:v>12.8</c:v>
                </c:pt>
                <c:pt idx="495">
                  <c:v>13.25625</c:v>
                </c:pt>
                <c:pt idx="496">
                  <c:v>14.975</c:v>
                </c:pt>
                <c:pt idx="497">
                  <c:v>14.99375</c:v>
                </c:pt>
                <c:pt idx="498">
                  <c:v>11.86875</c:v>
                </c:pt>
                <c:pt idx="499">
                  <c:v>10.831250000000001</c:v>
                </c:pt>
                <c:pt idx="500">
                  <c:v>11.38125</c:v>
                </c:pt>
                <c:pt idx="501">
                  <c:v>12.80625</c:v>
                </c:pt>
                <c:pt idx="502">
                  <c:v>13.2125</c:v>
                </c:pt>
                <c:pt idx="503">
                  <c:v>13.81875</c:v>
                </c:pt>
                <c:pt idx="504">
                  <c:v>13.043749999999999</c:v>
                </c:pt>
                <c:pt idx="505">
                  <c:v>12.887499999999999</c:v>
                </c:pt>
                <c:pt idx="506">
                  <c:v>13.18125</c:v>
                </c:pt>
                <c:pt idx="507">
                  <c:v>12.25</c:v>
                </c:pt>
                <c:pt idx="508">
                  <c:v>14.856249999999999</c:v>
                </c:pt>
                <c:pt idx="509">
                  <c:v>12.21875</c:v>
                </c:pt>
                <c:pt idx="510">
                  <c:v>8.7500009999999993</c:v>
                </c:pt>
                <c:pt idx="511">
                  <c:v>9.9562519999999992</c:v>
                </c:pt>
                <c:pt idx="512">
                  <c:v>9.4812510000000003</c:v>
                </c:pt>
                <c:pt idx="513">
                  <c:v>9.8312500000000007</c:v>
                </c:pt>
                <c:pt idx="514">
                  <c:v>11.15625</c:v>
                </c:pt>
                <c:pt idx="515">
                  <c:v>10.55</c:v>
                </c:pt>
                <c:pt idx="516">
                  <c:v>9.3500010000000007</c:v>
                </c:pt>
                <c:pt idx="517">
                  <c:v>11.15</c:v>
                </c:pt>
                <c:pt idx="518">
                  <c:v>13.074999999999999</c:v>
                </c:pt>
                <c:pt idx="519">
                  <c:v>11.275</c:v>
                </c:pt>
                <c:pt idx="520">
                  <c:v>10.606249999999999</c:v>
                </c:pt>
                <c:pt idx="521">
                  <c:v>12.824999999999999</c:v>
                </c:pt>
                <c:pt idx="522">
                  <c:v>12.36875</c:v>
                </c:pt>
                <c:pt idx="523">
                  <c:v>12.762499999999999</c:v>
                </c:pt>
                <c:pt idx="524">
                  <c:v>10.074999999999999</c:v>
                </c:pt>
                <c:pt idx="525">
                  <c:v>9.9625020000000006</c:v>
                </c:pt>
                <c:pt idx="526">
                  <c:v>9.2687519999999992</c:v>
                </c:pt>
                <c:pt idx="527">
                  <c:v>8.3437509999999993</c:v>
                </c:pt>
                <c:pt idx="528">
                  <c:v>10.4</c:v>
                </c:pt>
                <c:pt idx="529">
                  <c:v>10.918749999999999</c:v>
                </c:pt>
                <c:pt idx="530">
                  <c:v>11.45</c:v>
                </c:pt>
                <c:pt idx="531">
                  <c:v>9.4312509999999996</c:v>
                </c:pt>
                <c:pt idx="532">
                  <c:v>8.1624999999999996</c:v>
                </c:pt>
                <c:pt idx="533">
                  <c:v>7.3812499999999996</c:v>
                </c:pt>
                <c:pt idx="534">
                  <c:v>9.9749990000000004</c:v>
                </c:pt>
                <c:pt idx="535">
                  <c:v>11.5</c:v>
                </c:pt>
                <c:pt idx="536">
                  <c:v>10.94375</c:v>
                </c:pt>
                <c:pt idx="537">
                  <c:v>8.4125010000000007</c:v>
                </c:pt>
                <c:pt idx="538">
                  <c:v>8.3687509999999996</c:v>
                </c:pt>
                <c:pt idx="539">
                  <c:v>6.8687509999999996</c:v>
                </c:pt>
                <c:pt idx="540">
                  <c:v>6.5125000000000002</c:v>
                </c:pt>
                <c:pt idx="541">
                  <c:v>10.53125</c:v>
                </c:pt>
                <c:pt idx="542">
                  <c:v>11.487500000000001</c:v>
                </c:pt>
                <c:pt idx="543">
                  <c:v>10.00625</c:v>
                </c:pt>
                <c:pt idx="544">
                  <c:v>9.6937499999999996</c:v>
                </c:pt>
                <c:pt idx="545">
                  <c:v>6.331251</c:v>
                </c:pt>
                <c:pt idx="546">
                  <c:v>5.2937510000000003</c:v>
                </c:pt>
                <c:pt idx="547">
                  <c:v>7.3875000000000002</c:v>
                </c:pt>
                <c:pt idx="548">
                  <c:v>8.375</c:v>
                </c:pt>
                <c:pt idx="549">
                  <c:v>10.643750000000001</c:v>
                </c:pt>
                <c:pt idx="550">
                  <c:v>8.4000009999999996</c:v>
                </c:pt>
                <c:pt idx="551">
                  <c:v>7.45</c:v>
                </c:pt>
                <c:pt idx="552">
                  <c:v>7.4937500000000004</c:v>
                </c:pt>
                <c:pt idx="553">
                  <c:v>9.1625010000000007</c:v>
                </c:pt>
                <c:pt idx="554">
                  <c:v>9.8875019999999996</c:v>
                </c:pt>
                <c:pt idx="555">
                  <c:v>8.6875009999999993</c:v>
                </c:pt>
                <c:pt idx="556">
                  <c:v>10.9375</c:v>
                </c:pt>
                <c:pt idx="557">
                  <c:v>9.2437520000000006</c:v>
                </c:pt>
                <c:pt idx="558">
                  <c:v>9.7187509999999993</c:v>
                </c:pt>
                <c:pt idx="559">
                  <c:v>12.43125</c:v>
                </c:pt>
                <c:pt idx="560">
                  <c:v>11.05625</c:v>
                </c:pt>
                <c:pt idx="561">
                  <c:v>10.112500000000001</c:v>
                </c:pt>
                <c:pt idx="562">
                  <c:v>9.862501</c:v>
                </c:pt>
                <c:pt idx="563">
                  <c:v>9.8562510000000003</c:v>
                </c:pt>
                <c:pt idx="564">
                  <c:v>10.612500000000001</c:v>
                </c:pt>
                <c:pt idx="565">
                  <c:v>8.3875010000000003</c:v>
                </c:pt>
                <c:pt idx="566">
                  <c:v>7.9187510000000003</c:v>
                </c:pt>
                <c:pt idx="567">
                  <c:v>7.3687509999999996</c:v>
                </c:pt>
                <c:pt idx="568">
                  <c:v>7.4249999999999998</c:v>
                </c:pt>
                <c:pt idx="569">
                  <c:v>8.2000010000000003</c:v>
                </c:pt>
                <c:pt idx="570">
                  <c:v>8.143751</c:v>
                </c:pt>
                <c:pt idx="571">
                  <c:v>9.3937519999999992</c:v>
                </c:pt>
                <c:pt idx="572">
                  <c:v>8.1500009999999996</c:v>
                </c:pt>
                <c:pt idx="573">
                  <c:v>7.1937499999999996</c:v>
                </c:pt>
                <c:pt idx="574">
                  <c:v>7.581251</c:v>
                </c:pt>
                <c:pt idx="575">
                  <c:v>10.8</c:v>
                </c:pt>
                <c:pt idx="576">
                  <c:v>12.61875</c:v>
                </c:pt>
                <c:pt idx="577">
                  <c:v>9.7250019999999999</c:v>
                </c:pt>
                <c:pt idx="578">
                  <c:v>10.356249999999999</c:v>
                </c:pt>
                <c:pt idx="579">
                  <c:v>9.925001</c:v>
                </c:pt>
                <c:pt idx="580">
                  <c:v>10.050000000000001</c:v>
                </c:pt>
                <c:pt idx="581">
                  <c:v>10.425000000000001</c:v>
                </c:pt>
                <c:pt idx="582">
                  <c:v>10.15</c:v>
                </c:pt>
                <c:pt idx="583">
                  <c:v>9.8687520000000006</c:v>
                </c:pt>
                <c:pt idx="584">
                  <c:v>7.175001</c:v>
                </c:pt>
                <c:pt idx="585">
                  <c:v>11.831250000000001</c:v>
                </c:pt>
                <c:pt idx="586">
                  <c:v>10.275</c:v>
                </c:pt>
                <c:pt idx="587">
                  <c:v>8.6062510000000003</c:v>
                </c:pt>
                <c:pt idx="588">
                  <c:v>8.3125009999999993</c:v>
                </c:pt>
                <c:pt idx="589">
                  <c:v>8.1187509999999996</c:v>
                </c:pt>
                <c:pt idx="590">
                  <c:v>8.1500009999999996</c:v>
                </c:pt>
                <c:pt idx="591">
                  <c:v>8.7687519999999992</c:v>
                </c:pt>
                <c:pt idx="592">
                  <c:v>7.4</c:v>
                </c:pt>
                <c:pt idx="593">
                  <c:v>7.581251</c:v>
                </c:pt>
                <c:pt idx="594">
                  <c:v>8.9625009999999996</c:v>
                </c:pt>
                <c:pt idx="595">
                  <c:v>11.668749999999999</c:v>
                </c:pt>
                <c:pt idx="596">
                  <c:v>12.80625</c:v>
                </c:pt>
                <c:pt idx="597">
                  <c:v>13.93125</c:v>
                </c:pt>
                <c:pt idx="598">
                  <c:v>13.34375</c:v>
                </c:pt>
                <c:pt idx="599">
                  <c:v>13.231249999999999</c:v>
                </c:pt>
                <c:pt idx="600">
                  <c:v>10.375</c:v>
                </c:pt>
                <c:pt idx="601">
                  <c:v>8.2000010000000003</c:v>
                </c:pt>
                <c:pt idx="602">
                  <c:v>8.112501</c:v>
                </c:pt>
                <c:pt idx="603">
                  <c:v>8.5000009999999993</c:v>
                </c:pt>
                <c:pt idx="604">
                  <c:v>13.09375</c:v>
                </c:pt>
                <c:pt idx="605">
                  <c:v>13.30625</c:v>
                </c:pt>
                <c:pt idx="606">
                  <c:v>11.8</c:v>
                </c:pt>
                <c:pt idx="607">
                  <c:v>12.143750000000001</c:v>
                </c:pt>
                <c:pt idx="608">
                  <c:v>9.3500019999999999</c:v>
                </c:pt>
                <c:pt idx="609">
                  <c:v>9.4312520000000006</c:v>
                </c:pt>
                <c:pt idx="610">
                  <c:v>10.74375</c:v>
                </c:pt>
                <c:pt idx="611">
                  <c:v>13.012499999999999</c:v>
                </c:pt>
                <c:pt idx="612">
                  <c:v>11.94375</c:v>
                </c:pt>
                <c:pt idx="613">
                  <c:v>12.074999999999999</c:v>
                </c:pt>
                <c:pt idx="614">
                  <c:v>11.025</c:v>
                </c:pt>
                <c:pt idx="615">
                  <c:v>14.8125</c:v>
                </c:pt>
                <c:pt idx="616">
                  <c:v>17.293749999999999</c:v>
                </c:pt>
                <c:pt idx="617">
                  <c:v>10.262499999999999</c:v>
                </c:pt>
                <c:pt idx="618">
                  <c:v>9.4000020000000006</c:v>
                </c:pt>
                <c:pt idx="619">
                  <c:v>10.3</c:v>
                </c:pt>
                <c:pt idx="620">
                  <c:v>13.9375</c:v>
                </c:pt>
                <c:pt idx="621">
                  <c:v>16.081250000000001</c:v>
                </c:pt>
                <c:pt idx="622">
                  <c:v>13.3375</c:v>
                </c:pt>
                <c:pt idx="623">
                  <c:v>12.69375</c:v>
                </c:pt>
                <c:pt idx="624">
                  <c:v>13.675000000000001</c:v>
                </c:pt>
                <c:pt idx="625">
                  <c:v>15.1625</c:v>
                </c:pt>
                <c:pt idx="626">
                  <c:v>17.725000000000001</c:v>
                </c:pt>
                <c:pt idx="627">
                  <c:v>16.375</c:v>
                </c:pt>
                <c:pt idx="628">
                  <c:v>14.15</c:v>
                </c:pt>
                <c:pt idx="629">
                  <c:v>14.86875</c:v>
                </c:pt>
                <c:pt idx="630">
                  <c:v>18.34375</c:v>
                </c:pt>
                <c:pt idx="631">
                  <c:v>14.3</c:v>
                </c:pt>
                <c:pt idx="632">
                  <c:v>15.737500000000001</c:v>
                </c:pt>
                <c:pt idx="633">
                  <c:v>12.975</c:v>
                </c:pt>
                <c:pt idx="634">
                  <c:v>13.44375</c:v>
                </c:pt>
                <c:pt idx="635">
                  <c:v>15.96875</c:v>
                </c:pt>
                <c:pt idx="636">
                  <c:v>19.918749999999999</c:v>
                </c:pt>
                <c:pt idx="637">
                  <c:v>17.043749999999999</c:v>
                </c:pt>
                <c:pt idx="638">
                  <c:v>17.837499999999999</c:v>
                </c:pt>
                <c:pt idx="639">
                  <c:v>15.231249999999999</c:v>
                </c:pt>
                <c:pt idx="640">
                  <c:v>13.74375</c:v>
                </c:pt>
                <c:pt idx="641">
                  <c:v>12.05625</c:v>
                </c:pt>
                <c:pt idx="642">
                  <c:v>15.387499999999999</c:v>
                </c:pt>
                <c:pt idx="643">
                  <c:v>19.631250000000001</c:v>
                </c:pt>
                <c:pt idx="644">
                  <c:v>15.275</c:v>
                </c:pt>
                <c:pt idx="645">
                  <c:v>17.731249999999999</c:v>
                </c:pt>
                <c:pt idx="646">
                  <c:v>15.106249999999999</c:v>
                </c:pt>
                <c:pt idx="647">
                  <c:v>13.30625</c:v>
                </c:pt>
                <c:pt idx="648">
                  <c:v>13.612500000000001</c:v>
                </c:pt>
                <c:pt idx="649">
                  <c:v>15.43125</c:v>
                </c:pt>
                <c:pt idx="650">
                  <c:v>19.55</c:v>
                </c:pt>
                <c:pt idx="651">
                  <c:v>19.8</c:v>
                </c:pt>
                <c:pt idx="652">
                  <c:v>16.943750000000001</c:v>
                </c:pt>
                <c:pt idx="653">
                  <c:v>14.081250000000001</c:v>
                </c:pt>
                <c:pt idx="654">
                  <c:v>14.68125</c:v>
                </c:pt>
                <c:pt idx="655">
                  <c:v>13.25625</c:v>
                </c:pt>
                <c:pt idx="656">
                  <c:v>13.856249999999999</c:v>
                </c:pt>
                <c:pt idx="657">
                  <c:v>15.25</c:v>
                </c:pt>
                <c:pt idx="658">
                  <c:v>18.806249999999999</c:v>
                </c:pt>
                <c:pt idx="659">
                  <c:v>24.587499999999999</c:v>
                </c:pt>
                <c:pt idx="660">
                  <c:v>18</c:v>
                </c:pt>
                <c:pt idx="661">
                  <c:v>16.068750000000001</c:v>
                </c:pt>
                <c:pt idx="662">
                  <c:v>21.668749999999999</c:v>
                </c:pt>
                <c:pt idx="663">
                  <c:v>17.262499999999999</c:v>
                </c:pt>
                <c:pt idx="664">
                  <c:v>12.8125</c:v>
                </c:pt>
                <c:pt idx="665">
                  <c:v>15.9125</c:v>
                </c:pt>
                <c:pt idx="666">
                  <c:v>19.806249999999999</c:v>
                </c:pt>
                <c:pt idx="667">
                  <c:v>22.787500000000001</c:v>
                </c:pt>
                <c:pt idx="668">
                  <c:v>18.368749999999999</c:v>
                </c:pt>
                <c:pt idx="669">
                  <c:v>17.862500000000001</c:v>
                </c:pt>
                <c:pt idx="670">
                  <c:v>20.53125</c:v>
                </c:pt>
                <c:pt idx="671">
                  <c:v>24.337510000000002</c:v>
                </c:pt>
                <c:pt idx="672">
                  <c:v>22.1</c:v>
                </c:pt>
                <c:pt idx="673">
                  <c:v>21.806249999999999</c:v>
                </c:pt>
                <c:pt idx="674">
                  <c:v>16.056249999999999</c:v>
                </c:pt>
                <c:pt idx="675">
                  <c:v>12.418749999999999</c:v>
                </c:pt>
                <c:pt idx="676">
                  <c:v>13.018750000000001</c:v>
                </c:pt>
                <c:pt idx="677">
                  <c:v>14.85</c:v>
                </c:pt>
                <c:pt idx="678">
                  <c:v>18.293749999999999</c:v>
                </c:pt>
                <c:pt idx="679">
                  <c:v>20.96875</c:v>
                </c:pt>
                <c:pt idx="680">
                  <c:v>25.587499999999999</c:v>
                </c:pt>
                <c:pt idx="681">
                  <c:v>22.318750000000001</c:v>
                </c:pt>
                <c:pt idx="682">
                  <c:v>17.112500000000001</c:v>
                </c:pt>
                <c:pt idx="683">
                  <c:v>18.53125</c:v>
                </c:pt>
                <c:pt idx="684">
                  <c:v>20.65625</c:v>
                </c:pt>
                <c:pt idx="685">
                  <c:v>20.95</c:v>
                </c:pt>
                <c:pt idx="686">
                  <c:v>18.8</c:v>
                </c:pt>
                <c:pt idx="687">
                  <c:v>21.056249999999999</c:v>
                </c:pt>
                <c:pt idx="688">
                  <c:v>16.2</c:v>
                </c:pt>
                <c:pt idx="689">
                  <c:v>15.793749999999999</c:v>
                </c:pt>
                <c:pt idx="690">
                  <c:v>15.5375</c:v>
                </c:pt>
                <c:pt idx="691">
                  <c:v>18.168749999999999</c:v>
                </c:pt>
                <c:pt idx="692">
                  <c:v>18.006250000000001</c:v>
                </c:pt>
                <c:pt idx="693">
                  <c:v>18.068750000000001</c:v>
                </c:pt>
                <c:pt idx="694">
                  <c:v>21.931249999999999</c:v>
                </c:pt>
                <c:pt idx="695">
                  <c:v>23.881250000000001</c:v>
                </c:pt>
                <c:pt idx="696">
                  <c:v>19.862500000000001</c:v>
                </c:pt>
                <c:pt idx="697">
                  <c:v>19.137499999999999</c:v>
                </c:pt>
                <c:pt idx="698">
                  <c:v>18.850000000000001</c:v>
                </c:pt>
                <c:pt idx="699">
                  <c:v>22.862500000000001</c:v>
                </c:pt>
                <c:pt idx="700">
                  <c:v>24.25</c:v>
                </c:pt>
                <c:pt idx="701">
                  <c:v>26.650010000000002</c:v>
                </c:pt>
                <c:pt idx="702">
                  <c:v>20.018750000000001</c:v>
                </c:pt>
                <c:pt idx="703">
                  <c:v>23.537500000000001</c:v>
                </c:pt>
                <c:pt idx="704">
                  <c:v>22.768750000000001</c:v>
                </c:pt>
                <c:pt idx="705">
                  <c:v>24.725010000000001</c:v>
                </c:pt>
                <c:pt idx="706">
                  <c:v>25.806249999999999</c:v>
                </c:pt>
                <c:pt idx="707">
                  <c:v>27.368749999999999</c:v>
                </c:pt>
                <c:pt idx="708">
                  <c:v>19.34375</c:v>
                </c:pt>
                <c:pt idx="709">
                  <c:v>19.675000000000001</c:v>
                </c:pt>
                <c:pt idx="710">
                  <c:v>21.625</c:v>
                </c:pt>
                <c:pt idx="711">
                  <c:v>25.03125</c:v>
                </c:pt>
                <c:pt idx="712">
                  <c:v>18.368749999999999</c:v>
                </c:pt>
                <c:pt idx="713">
                  <c:v>17.15625</c:v>
                </c:pt>
                <c:pt idx="714">
                  <c:v>19.462499999999999</c:v>
                </c:pt>
                <c:pt idx="715">
                  <c:v>20.293749999999999</c:v>
                </c:pt>
                <c:pt idx="716">
                  <c:v>19.387499999999999</c:v>
                </c:pt>
                <c:pt idx="717">
                  <c:v>17.481249999999999</c:v>
                </c:pt>
                <c:pt idx="718">
                  <c:v>19.350000000000001</c:v>
                </c:pt>
                <c:pt idx="719">
                  <c:v>27.206250000000001</c:v>
                </c:pt>
                <c:pt idx="720">
                  <c:v>21.71875</c:v>
                </c:pt>
                <c:pt idx="721">
                  <c:v>24.375</c:v>
                </c:pt>
                <c:pt idx="722">
                  <c:v>25.71875</c:v>
                </c:pt>
                <c:pt idx="723">
                  <c:v>29.568750000000001</c:v>
                </c:pt>
                <c:pt idx="724">
                  <c:v>25.887499999999999</c:v>
                </c:pt>
                <c:pt idx="725">
                  <c:v>18.962499999999999</c:v>
                </c:pt>
                <c:pt idx="726">
                  <c:v>18.768750000000001</c:v>
                </c:pt>
                <c:pt idx="727">
                  <c:v>21.975000000000001</c:v>
                </c:pt>
                <c:pt idx="728">
                  <c:v>22.45</c:v>
                </c:pt>
                <c:pt idx="729">
                  <c:v>17.45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F5-417C-A19E-07EDB97D6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6421736"/>
        <c:axId val="666424256"/>
      </c:lineChart>
      <c:catAx>
        <c:axId val="666421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24256"/>
        <c:crosses val="autoZero"/>
        <c:auto val="1"/>
        <c:lblAlgn val="ctr"/>
        <c:lblOffset val="100"/>
        <c:noMultiLvlLbl val="0"/>
      </c:catAx>
      <c:valAx>
        <c:axId val="66642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21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TempTrain!$A$5</c:f>
              <c:strCache>
                <c:ptCount val="1"/>
                <c:pt idx="0">
                  <c:v>TTrain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TempTrain!$A$6:$A$370</c:f>
              <c:numCache>
                <c:formatCode>General</c:formatCode>
                <c:ptCount val="365"/>
                <c:pt idx="0">
                  <c:v>14.75</c:v>
                </c:pt>
                <c:pt idx="1">
                  <c:v>14.43125</c:v>
                </c:pt>
                <c:pt idx="2">
                  <c:v>15.59375</c:v>
                </c:pt>
                <c:pt idx="3">
                  <c:v>17.824999999999999</c:v>
                </c:pt>
                <c:pt idx="4">
                  <c:v>18.137499999999999</c:v>
                </c:pt>
                <c:pt idx="5">
                  <c:v>20.918749999999999</c:v>
                </c:pt>
                <c:pt idx="6">
                  <c:v>24.037500000000001</c:v>
                </c:pt>
                <c:pt idx="7">
                  <c:v>27.975000000000001</c:v>
                </c:pt>
                <c:pt idx="8">
                  <c:v>31.618749999999999</c:v>
                </c:pt>
                <c:pt idx="9">
                  <c:v>27.806249999999999</c:v>
                </c:pt>
                <c:pt idx="10">
                  <c:v>21.681249999999999</c:v>
                </c:pt>
                <c:pt idx="11">
                  <c:v>19.912500000000001</c:v>
                </c:pt>
                <c:pt idx="12">
                  <c:v>18.2</c:v>
                </c:pt>
                <c:pt idx="13">
                  <c:v>20.893750000000001</c:v>
                </c:pt>
                <c:pt idx="14">
                  <c:v>25.231249999999999</c:v>
                </c:pt>
                <c:pt idx="15">
                  <c:v>28.524999999999999</c:v>
                </c:pt>
                <c:pt idx="16">
                  <c:v>27.862500000000001</c:v>
                </c:pt>
                <c:pt idx="17">
                  <c:v>20.824999999999999</c:v>
                </c:pt>
                <c:pt idx="18">
                  <c:v>24.09375</c:v>
                </c:pt>
                <c:pt idx="19">
                  <c:v>23.45</c:v>
                </c:pt>
                <c:pt idx="20">
                  <c:v>20.975000000000001</c:v>
                </c:pt>
                <c:pt idx="21">
                  <c:v>22.206250000000001</c:v>
                </c:pt>
                <c:pt idx="22">
                  <c:v>28.84375</c:v>
                </c:pt>
                <c:pt idx="23">
                  <c:v>22.131250000000001</c:v>
                </c:pt>
                <c:pt idx="24">
                  <c:v>21.318750000000001</c:v>
                </c:pt>
                <c:pt idx="25">
                  <c:v>22.681249999999999</c:v>
                </c:pt>
                <c:pt idx="26">
                  <c:v>23.59375</c:v>
                </c:pt>
                <c:pt idx="27">
                  <c:v>24.306249999999999</c:v>
                </c:pt>
                <c:pt idx="28">
                  <c:v>28.862500000000001</c:v>
                </c:pt>
                <c:pt idx="29">
                  <c:v>28.875</c:v>
                </c:pt>
                <c:pt idx="30">
                  <c:v>27.46875</c:v>
                </c:pt>
                <c:pt idx="31">
                  <c:v>22.868749999999999</c:v>
                </c:pt>
                <c:pt idx="32">
                  <c:v>24.725000000000001</c:v>
                </c:pt>
                <c:pt idx="33">
                  <c:v>27.393750000000001</c:v>
                </c:pt>
                <c:pt idx="34">
                  <c:v>28.21875</c:v>
                </c:pt>
                <c:pt idx="35">
                  <c:v>32.037500000000001</c:v>
                </c:pt>
                <c:pt idx="36">
                  <c:v>34.225000000000001</c:v>
                </c:pt>
                <c:pt idx="37">
                  <c:v>32.006259999999997</c:v>
                </c:pt>
                <c:pt idx="38">
                  <c:v>34.543750000000003</c:v>
                </c:pt>
                <c:pt idx="39">
                  <c:v>34.387500000000003</c:v>
                </c:pt>
                <c:pt idx="40">
                  <c:v>28.293749999999999</c:v>
                </c:pt>
                <c:pt idx="41">
                  <c:v>27.125</c:v>
                </c:pt>
                <c:pt idx="42">
                  <c:v>28.081250000000001</c:v>
                </c:pt>
                <c:pt idx="43">
                  <c:v>26.743749999999999</c:v>
                </c:pt>
                <c:pt idx="44">
                  <c:v>29.787500000000001</c:v>
                </c:pt>
                <c:pt idx="45">
                  <c:v>24.606249999999999</c:v>
                </c:pt>
                <c:pt idx="46">
                  <c:v>18.893750000000001</c:v>
                </c:pt>
                <c:pt idx="47">
                  <c:v>19.131250000000001</c:v>
                </c:pt>
                <c:pt idx="48">
                  <c:v>24.431249999999999</c:v>
                </c:pt>
                <c:pt idx="49">
                  <c:v>19.868749999999999</c:v>
                </c:pt>
                <c:pt idx="50">
                  <c:v>17.918749999999999</c:v>
                </c:pt>
                <c:pt idx="51">
                  <c:v>19.393750000000001</c:v>
                </c:pt>
                <c:pt idx="52">
                  <c:v>22.356249999999999</c:v>
                </c:pt>
                <c:pt idx="53">
                  <c:v>20.993749999999999</c:v>
                </c:pt>
                <c:pt idx="54">
                  <c:v>22.21875</c:v>
                </c:pt>
                <c:pt idx="55">
                  <c:v>24.875</c:v>
                </c:pt>
                <c:pt idx="56">
                  <c:v>25.162500000000001</c:v>
                </c:pt>
                <c:pt idx="57">
                  <c:v>23.575009999999999</c:v>
                </c:pt>
                <c:pt idx="58">
                  <c:v>20.662500000000001</c:v>
                </c:pt>
                <c:pt idx="59">
                  <c:v>23.543749999999999</c:v>
                </c:pt>
                <c:pt idx="60">
                  <c:v>24.256250000000001</c:v>
                </c:pt>
                <c:pt idx="61">
                  <c:v>25.168749999999999</c:v>
                </c:pt>
                <c:pt idx="62">
                  <c:v>27.175000000000001</c:v>
                </c:pt>
                <c:pt idx="63">
                  <c:v>22.587499999999999</c:v>
                </c:pt>
                <c:pt idx="64">
                  <c:v>17.493749999999999</c:v>
                </c:pt>
                <c:pt idx="65">
                  <c:v>19</c:v>
                </c:pt>
                <c:pt idx="66">
                  <c:v>21.043749999999999</c:v>
                </c:pt>
                <c:pt idx="67">
                  <c:v>19.274999999999999</c:v>
                </c:pt>
                <c:pt idx="68">
                  <c:v>21.0625</c:v>
                </c:pt>
                <c:pt idx="69">
                  <c:v>16.137499999999999</c:v>
                </c:pt>
                <c:pt idx="70">
                  <c:v>15.28125</c:v>
                </c:pt>
                <c:pt idx="71">
                  <c:v>18.600000000000001</c:v>
                </c:pt>
                <c:pt idx="72">
                  <c:v>18.3</c:v>
                </c:pt>
                <c:pt idx="73">
                  <c:v>21.3</c:v>
                </c:pt>
                <c:pt idx="74">
                  <c:v>22.056249999999999</c:v>
                </c:pt>
                <c:pt idx="75">
                  <c:v>24.212499999999999</c:v>
                </c:pt>
                <c:pt idx="76">
                  <c:v>26.225000000000001</c:v>
                </c:pt>
                <c:pt idx="77">
                  <c:v>20.881250000000001</c:v>
                </c:pt>
                <c:pt idx="78">
                  <c:v>16.45</c:v>
                </c:pt>
                <c:pt idx="79">
                  <c:v>14.893750000000001</c:v>
                </c:pt>
                <c:pt idx="80">
                  <c:v>18.118749999999999</c:v>
                </c:pt>
                <c:pt idx="81">
                  <c:v>18.693750000000001</c:v>
                </c:pt>
                <c:pt idx="82">
                  <c:v>19.143750000000001</c:v>
                </c:pt>
                <c:pt idx="83">
                  <c:v>19.25</c:v>
                </c:pt>
                <c:pt idx="84">
                  <c:v>21.46875</c:v>
                </c:pt>
                <c:pt idx="85">
                  <c:v>23.53125</c:v>
                </c:pt>
                <c:pt idx="86">
                  <c:v>18.856249999999999</c:v>
                </c:pt>
                <c:pt idx="87">
                  <c:v>13.00625</c:v>
                </c:pt>
                <c:pt idx="88">
                  <c:v>12.65</c:v>
                </c:pt>
                <c:pt idx="89">
                  <c:v>14.025</c:v>
                </c:pt>
                <c:pt idx="90">
                  <c:v>17.125</c:v>
                </c:pt>
                <c:pt idx="91">
                  <c:v>18.15625</c:v>
                </c:pt>
                <c:pt idx="92">
                  <c:v>15.06875</c:v>
                </c:pt>
                <c:pt idx="93">
                  <c:v>14.8375</c:v>
                </c:pt>
                <c:pt idx="94">
                  <c:v>17.637499999999999</c:v>
                </c:pt>
                <c:pt idx="95">
                  <c:v>19.331250000000001</c:v>
                </c:pt>
                <c:pt idx="96">
                  <c:v>20.85</c:v>
                </c:pt>
                <c:pt idx="97">
                  <c:v>17.018750000000001</c:v>
                </c:pt>
                <c:pt idx="98">
                  <c:v>17.40625</c:v>
                </c:pt>
                <c:pt idx="99">
                  <c:v>15.637499999999999</c:v>
                </c:pt>
                <c:pt idx="100">
                  <c:v>16.743749999999999</c:v>
                </c:pt>
                <c:pt idx="101">
                  <c:v>17.21875</c:v>
                </c:pt>
                <c:pt idx="102">
                  <c:v>17.393750000000001</c:v>
                </c:pt>
                <c:pt idx="103">
                  <c:v>19.90626</c:v>
                </c:pt>
                <c:pt idx="104">
                  <c:v>20.425000000000001</c:v>
                </c:pt>
                <c:pt idx="105">
                  <c:v>21.574999999999999</c:v>
                </c:pt>
                <c:pt idx="106">
                  <c:v>22.15</c:v>
                </c:pt>
                <c:pt idx="107">
                  <c:v>22.493749999999999</c:v>
                </c:pt>
                <c:pt idx="108">
                  <c:v>21.462499999999999</c:v>
                </c:pt>
                <c:pt idx="109">
                  <c:v>18.59375</c:v>
                </c:pt>
                <c:pt idx="110">
                  <c:v>21.337499999999999</c:v>
                </c:pt>
                <c:pt idx="111">
                  <c:v>17.318750000000001</c:v>
                </c:pt>
                <c:pt idx="112">
                  <c:v>15.05</c:v>
                </c:pt>
                <c:pt idx="113">
                  <c:v>15.225</c:v>
                </c:pt>
                <c:pt idx="114">
                  <c:v>14.06875</c:v>
                </c:pt>
                <c:pt idx="115">
                  <c:v>13.625</c:v>
                </c:pt>
                <c:pt idx="116">
                  <c:v>15.025</c:v>
                </c:pt>
                <c:pt idx="117">
                  <c:v>12.85</c:v>
                </c:pt>
                <c:pt idx="118">
                  <c:v>13.375</c:v>
                </c:pt>
                <c:pt idx="119">
                  <c:v>16.106249999999999</c:v>
                </c:pt>
                <c:pt idx="120">
                  <c:v>16.425000000000001</c:v>
                </c:pt>
                <c:pt idx="121">
                  <c:v>14.1</c:v>
                </c:pt>
                <c:pt idx="122">
                  <c:v>11.475</c:v>
                </c:pt>
                <c:pt idx="123">
                  <c:v>12.44375</c:v>
                </c:pt>
                <c:pt idx="124">
                  <c:v>13.481249999999999</c:v>
                </c:pt>
                <c:pt idx="125">
                  <c:v>10.125</c:v>
                </c:pt>
                <c:pt idx="126">
                  <c:v>9.5562509999999996</c:v>
                </c:pt>
                <c:pt idx="127">
                  <c:v>9.8062509999999996</c:v>
                </c:pt>
                <c:pt idx="128">
                  <c:v>9.7875019999999999</c:v>
                </c:pt>
                <c:pt idx="129">
                  <c:v>12.6875</c:v>
                </c:pt>
                <c:pt idx="130">
                  <c:v>14.456250000000001</c:v>
                </c:pt>
                <c:pt idx="131">
                  <c:v>14.8375</c:v>
                </c:pt>
                <c:pt idx="132">
                  <c:v>14.987500000000001</c:v>
                </c:pt>
                <c:pt idx="133">
                  <c:v>16.987500000000001</c:v>
                </c:pt>
                <c:pt idx="134">
                  <c:v>12.96875</c:v>
                </c:pt>
                <c:pt idx="135">
                  <c:v>12.543749999999999</c:v>
                </c:pt>
                <c:pt idx="136">
                  <c:v>12.512499999999999</c:v>
                </c:pt>
                <c:pt idx="137">
                  <c:v>12.18125</c:v>
                </c:pt>
                <c:pt idx="138">
                  <c:v>12.4</c:v>
                </c:pt>
                <c:pt idx="139">
                  <c:v>12.175000000000001</c:v>
                </c:pt>
                <c:pt idx="140">
                  <c:v>10.53125</c:v>
                </c:pt>
                <c:pt idx="141">
                  <c:v>9.5500000000000007</c:v>
                </c:pt>
                <c:pt idx="142">
                  <c:v>8.9000020000000006</c:v>
                </c:pt>
                <c:pt idx="143">
                  <c:v>9.3500010000000007</c:v>
                </c:pt>
                <c:pt idx="144">
                  <c:v>9.1312519999999999</c:v>
                </c:pt>
                <c:pt idx="145">
                  <c:v>8.3812510000000007</c:v>
                </c:pt>
                <c:pt idx="146">
                  <c:v>9.2187509999999993</c:v>
                </c:pt>
                <c:pt idx="147">
                  <c:v>9.5375010000000007</c:v>
                </c:pt>
                <c:pt idx="148">
                  <c:v>10.725</c:v>
                </c:pt>
                <c:pt idx="149">
                  <c:v>10.84375</c:v>
                </c:pt>
                <c:pt idx="150">
                  <c:v>11.324999999999999</c:v>
                </c:pt>
                <c:pt idx="151">
                  <c:v>10.88125</c:v>
                </c:pt>
                <c:pt idx="152">
                  <c:v>12.112500000000001</c:v>
                </c:pt>
                <c:pt idx="153">
                  <c:v>12.6875</c:v>
                </c:pt>
                <c:pt idx="154">
                  <c:v>9.4437499999999996</c:v>
                </c:pt>
                <c:pt idx="155">
                  <c:v>9.4187519999999996</c:v>
                </c:pt>
                <c:pt idx="156">
                  <c:v>8.6500020000000006</c:v>
                </c:pt>
                <c:pt idx="157">
                  <c:v>7.7874999999999996</c:v>
                </c:pt>
                <c:pt idx="158">
                  <c:v>7.8187499999999996</c:v>
                </c:pt>
                <c:pt idx="159">
                  <c:v>7.8562510000000003</c:v>
                </c:pt>
                <c:pt idx="160">
                  <c:v>11.3375</c:v>
                </c:pt>
                <c:pt idx="161">
                  <c:v>7.7625000000000002</c:v>
                </c:pt>
                <c:pt idx="162">
                  <c:v>7.9749999999999996</c:v>
                </c:pt>
                <c:pt idx="163">
                  <c:v>12.518750000000001</c:v>
                </c:pt>
                <c:pt idx="164">
                  <c:v>11.56875</c:v>
                </c:pt>
                <c:pt idx="165">
                  <c:v>12.18125</c:v>
                </c:pt>
                <c:pt idx="166">
                  <c:v>10.75</c:v>
                </c:pt>
                <c:pt idx="167">
                  <c:v>9.7750020000000006</c:v>
                </c:pt>
                <c:pt idx="168">
                  <c:v>7.3062509999999996</c:v>
                </c:pt>
                <c:pt idx="169">
                  <c:v>10.19375</c:v>
                </c:pt>
                <c:pt idx="170">
                  <c:v>12.331250000000001</c:v>
                </c:pt>
                <c:pt idx="171">
                  <c:v>12.78125</c:v>
                </c:pt>
                <c:pt idx="172">
                  <c:v>11.043749999999999</c:v>
                </c:pt>
                <c:pt idx="173">
                  <c:v>8.9937520000000006</c:v>
                </c:pt>
                <c:pt idx="174">
                  <c:v>11.5375</c:v>
                </c:pt>
                <c:pt idx="175">
                  <c:v>12.025</c:v>
                </c:pt>
                <c:pt idx="176">
                  <c:v>11.643750000000001</c:v>
                </c:pt>
                <c:pt idx="177">
                  <c:v>11.4125</c:v>
                </c:pt>
                <c:pt idx="178">
                  <c:v>12.481249999999999</c:v>
                </c:pt>
                <c:pt idx="179">
                  <c:v>11.987500000000001</c:v>
                </c:pt>
                <c:pt idx="180">
                  <c:v>13.275</c:v>
                </c:pt>
                <c:pt idx="181">
                  <c:v>10.4</c:v>
                </c:pt>
                <c:pt idx="182">
                  <c:v>8.2437520000000006</c:v>
                </c:pt>
                <c:pt idx="183">
                  <c:v>10.25</c:v>
                </c:pt>
                <c:pt idx="184">
                  <c:v>10.893750000000001</c:v>
                </c:pt>
                <c:pt idx="185">
                  <c:v>12</c:v>
                </c:pt>
                <c:pt idx="186">
                  <c:v>10.3375</c:v>
                </c:pt>
                <c:pt idx="187">
                  <c:v>13.05</c:v>
                </c:pt>
                <c:pt idx="188">
                  <c:v>12.81875</c:v>
                </c:pt>
                <c:pt idx="189">
                  <c:v>9.1812509999999996</c:v>
                </c:pt>
                <c:pt idx="190">
                  <c:v>7.75</c:v>
                </c:pt>
                <c:pt idx="191">
                  <c:v>6.737501</c:v>
                </c:pt>
                <c:pt idx="192">
                  <c:v>8.643751</c:v>
                </c:pt>
                <c:pt idx="193">
                  <c:v>6.8875000000000002</c:v>
                </c:pt>
                <c:pt idx="194">
                  <c:v>5.9375</c:v>
                </c:pt>
                <c:pt idx="195">
                  <c:v>7.831251</c:v>
                </c:pt>
                <c:pt idx="196">
                  <c:v>9.5250020000000006</c:v>
                </c:pt>
                <c:pt idx="197">
                  <c:v>12.762499999999999</c:v>
                </c:pt>
                <c:pt idx="198">
                  <c:v>9.5437510000000003</c:v>
                </c:pt>
                <c:pt idx="199">
                  <c:v>6.3250000000000002</c:v>
                </c:pt>
                <c:pt idx="200">
                  <c:v>10.612500000000001</c:v>
                </c:pt>
                <c:pt idx="201">
                  <c:v>10.106249999999999</c:v>
                </c:pt>
                <c:pt idx="202">
                  <c:v>10.375</c:v>
                </c:pt>
                <c:pt idx="203">
                  <c:v>11.706250000000001</c:v>
                </c:pt>
                <c:pt idx="204">
                  <c:v>14.375</c:v>
                </c:pt>
                <c:pt idx="205">
                  <c:v>13.0625</c:v>
                </c:pt>
                <c:pt idx="206">
                  <c:v>8.8812499999999996</c:v>
                </c:pt>
                <c:pt idx="207">
                  <c:v>9.1937510000000007</c:v>
                </c:pt>
                <c:pt idx="208">
                  <c:v>11.19375</c:v>
                </c:pt>
                <c:pt idx="209">
                  <c:v>9.1875020000000003</c:v>
                </c:pt>
                <c:pt idx="210">
                  <c:v>10.06875</c:v>
                </c:pt>
                <c:pt idx="211">
                  <c:v>11</c:v>
                </c:pt>
                <c:pt idx="212">
                  <c:v>10.21875</c:v>
                </c:pt>
                <c:pt idx="213">
                  <c:v>9.8562519999999996</c:v>
                </c:pt>
                <c:pt idx="214">
                  <c:v>10.9125</c:v>
                </c:pt>
                <c:pt idx="215">
                  <c:v>9.6000010000000007</c:v>
                </c:pt>
                <c:pt idx="216">
                  <c:v>8.7875010000000007</c:v>
                </c:pt>
                <c:pt idx="217">
                  <c:v>10.112500000000001</c:v>
                </c:pt>
                <c:pt idx="218">
                  <c:v>7.46875</c:v>
                </c:pt>
                <c:pt idx="219">
                  <c:v>8.3312500000000007</c:v>
                </c:pt>
                <c:pt idx="220">
                  <c:v>12.237500000000001</c:v>
                </c:pt>
                <c:pt idx="221">
                  <c:v>8.7937510000000003</c:v>
                </c:pt>
                <c:pt idx="222">
                  <c:v>7.3187499999999996</c:v>
                </c:pt>
                <c:pt idx="223">
                  <c:v>9.5500019999999992</c:v>
                </c:pt>
                <c:pt idx="224">
                  <c:v>11.05</c:v>
                </c:pt>
                <c:pt idx="225">
                  <c:v>13.9</c:v>
                </c:pt>
                <c:pt idx="226">
                  <c:v>9.4124999999999996</c:v>
                </c:pt>
                <c:pt idx="227">
                  <c:v>8.3687509999999996</c:v>
                </c:pt>
                <c:pt idx="228">
                  <c:v>7.5812499999999998</c:v>
                </c:pt>
                <c:pt idx="229">
                  <c:v>10.481249999999999</c:v>
                </c:pt>
                <c:pt idx="230">
                  <c:v>9.3312519999999992</c:v>
                </c:pt>
                <c:pt idx="231">
                  <c:v>10.5875</c:v>
                </c:pt>
                <c:pt idx="232">
                  <c:v>11.637499999999999</c:v>
                </c:pt>
                <c:pt idx="233">
                  <c:v>13.418749999999999</c:v>
                </c:pt>
                <c:pt idx="234">
                  <c:v>12.4375</c:v>
                </c:pt>
                <c:pt idx="235">
                  <c:v>10.856249999999999</c:v>
                </c:pt>
                <c:pt idx="236">
                  <c:v>10.8125</c:v>
                </c:pt>
                <c:pt idx="237">
                  <c:v>11.34375</c:v>
                </c:pt>
                <c:pt idx="238">
                  <c:v>12.0625</c:v>
                </c:pt>
                <c:pt idx="239">
                  <c:v>11.831250000000001</c:v>
                </c:pt>
                <c:pt idx="240">
                  <c:v>10.4125</c:v>
                </c:pt>
                <c:pt idx="241">
                  <c:v>7.987501</c:v>
                </c:pt>
                <c:pt idx="242">
                  <c:v>8.956251</c:v>
                </c:pt>
                <c:pt idx="243">
                  <c:v>9.3750009999999993</c:v>
                </c:pt>
                <c:pt idx="244">
                  <c:v>11.706250000000001</c:v>
                </c:pt>
                <c:pt idx="245">
                  <c:v>14.5875</c:v>
                </c:pt>
                <c:pt idx="246">
                  <c:v>12.175000000000001</c:v>
                </c:pt>
                <c:pt idx="247">
                  <c:v>12.55625</c:v>
                </c:pt>
                <c:pt idx="248">
                  <c:v>12.775</c:v>
                </c:pt>
                <c:pt idx="249">
                  <c:v>15.86875</c:v>
                </c:pt>
                <c:pt idx="250">
                  <c:v>20.149999999999999</c:v>
                </c:pt>
                <c:pt idx="251">
                  <c:v>13.40625</c:v>
                </c:pt>
                <c:pt idx="252">
                  <c:v>9.5750019999999996</c:v>
                </c:pt>
                <c:pt idx="253">
                  <c:v>10.24375</c:v>
                </c:pt>
                <c:pt idx="254">
                  <c:v>11.09375</c:v>
                </c:pt>
                <c:pt idx="255">
                  <c:v>11.231249999999999</c:v>
                </c:pt>
                <c:pt idx="256">
                  <c:v>12.9375</c:v>
                </c:pt>
                <c:pt idx="257">
                  <c:v>8.3312500000000007</c:v>
                </c:pt>
                <c:pt idx="258">
                  <c:v>8.5187500000000007</c:v>
                </c:pt>
                <c:pt idx="259">
                  <c:v>11.80625</c:v>
                </c:pt>
                <c:pt idx="260">
                  <c:v>12.46875</c:v>
                </c:pt>
                <c:pt idx="261">
                  <c:v>9.3500010000000007</c:v>
                </c:pt>
                <c:pt idx="262">
                  <c:v>12.768750000000001</c:v>
                </c:pt>
                <c:pt idx="263">
                  <c:v>11.86875</c:v>
                </c:pt>
                <c:pt idx="264">
                  <c:v>13.456250000000001</c:v>
                </c:pt>
                <c:pt idx="265">
                  <c:v>11.625</c:v>
                </c:pt>
                <c:pt idx="266">
                  <c:v>10.862500000000001</c:v>
                </c:pt>
                <c:pt idx="267">
                  <c:v>9.0312509999999993</c:v>
                </c:pt>
                <c:pt idx="268">
                  <c:v>9.050001</c:v>
                </c:pt>
                <c:pt idx="269">
                  <c:v>10.050000000000001</c:v>
                </c:pt>
                <c:pt idx="270">
                  <c:v>11.53125</c:v>
                </c:pt>
                <c:pt idx="271">
                  <c:v>12.775</c:v>
                </c:pt>
                <c:pt idx="272">
                  <c:v>12.975</c:v>
                </c:pt>
                <c:pt idx="273">
                  <c:v>16.7</c:v>
                </c:pt>
                <c:pt idx="274">
                  <c:v>20.5</c:v>
                </c:pt>
                <c:pt idx="275">
                  <c:v>16.824999999999999</c:v>
                </c:pt>
                <c:pt idx="276">
                  <c:v>26.068750000000001</c:v>
                </c:pt>
                <c:pt idx="277">
                  <c:v>23.85</c:v>
                </c:pt>
                <c:pt idx="278">
                  <c:v>18.393750000000001</c:v>
                </c:pt>
                <c:pt idx="279">
                  <c:v>23.256250000000001</c:v>
                </c:pt>
                <c:pt idx="280">
                  <c:v>14.775</c:v>
                </c:pt>
                <c:pt idx="281">
                  <c:v>13.24375</c:v>
                </c:pt>
                <c:pt idx="282">
                  <c:v>15.206250000000001</c:v>
                </c:pt>
                <c:pt idx="283">
                  <c:v>19.21875</c:v>
                </c:pt>
                <c:pt idx="284">
                  <c:v>15.78125</c:v>
                </c:pt>
                <c:pt idx="285">
                  <c:v>14.425000000000001</c:v>
                </c:pt>
                <c:pt idx="286">
                  <c:v>11.59375</c:v>
                </c:pt>
                <c:pt idx="287">
                  <c:v>12.40625</c:v>
                </c:pt>
                <c:pt idx="288">
                  <c:v>16.981249999999999</c:v>
                </c:pt>
                <c:pt idx="289">
                  <c:v>16.28125</c:v>
                </c:pt>
                <c:pt idx="290">
                  <c:v>14.487500000000001</c:v>
                </c:pt>
                <c:pt idx="291">
                  <c:v>16.587499999999999</c:v>
                </c:pt>
                <c:pt idx="292">
                  <c:v>12.918749999999999</c:v>
                </c:pt>
                <c:pt idx="293">
                  <c:v>15.143750000000001</c:v>
                </c:pt>
                <c:pt idx="294">
                  <c:v>13.1625</c:v>
                </c:pt>
                <c:pt idx="295">
                  <c:v>15.1</c:v>
                </c:pt>
                <c:pt idx="296">
                  <c:v>15.918749999999999</c:v>
                </c:pt>
                <c:pt idx="297">
                  <c:v>13.6875</c:v>
                </c:pt>
                <c:pt idx="298">
                  <c:v>16.725000000000001</c:v>
                </c:pt>
                <c:pt idx="299">
                  <c:v>21.668749999999999</c:v>
                </c:pt>
                <c:pt idx="300">
                  <c:v>20.662500000000001</c:v>
                </c:pt>
                <c:pt idx="301">
                  <c:v>12.6625</c:v>
                </c:pt>
                <c:pt idx="302">
                  <c:v>13.581250000000001</c:v>
                </c:pt>
                <c:pt idx="303">
                  <c:v>15</c:v>
                </c:pt>
                <c:pt idx="304">
                  <c:v>16.100000000000001</c:v>
                </c:pt>
                <c:pt idx="305">
                  <c:v>15.331250000000001</c:v>
                </c:pt>
                <c:pt idx="306">
                  <c:v>16.15625</c:v>
                </c:pt>
                <c:pt idx="307">
                  <c:v>20.931249999999999</c:v>
                </c:pt>
                <c:pt idx="308">
                  <c:v>17.625</c:v>
                </c:pt>
                <c:pt idx="309">
                  <c:v>15.518750000000001</c:v>
                </c:pt>
                <c:pt idx="310">
                  <c:v>17.78125</c:v>
                </c:pt>
                <c:pt idx="311">
                  <c:v>21.006250000000001</c:v>
                </c:pt>
                <c:pt idx="312">
                  <c:v>24.925000000000001</c:v>
                </c:pt>
                <c:pt idx="313">
                  <c:v>22.8</c:v>
                </c:pt>
                <c:pt idx="314">
                  <c:v>18.5</c:v>
                </c:pt>
                <c:pt idx="315">
                  <c:v>18.462499999999999</c:v>
                </c:pt>
                <c:pt idx="316">
                  <c:v>17.931249999999999</c:v>
                </c:pt>
                <c:pt idx="317">
                  <c:v>15.34375</c:v>
                </c:pt>
                <c:pt idx="318">
                  <c:v>10.1625</c:v>
                </c:pt>
                <c:pt idx="319">
                  <c:v>13.0625</c:v>
                </c:pt>
                <c:pt idx="320">
                  <c:v>15.55</c:v>
                </c:pt>
                <c:pt idx="321">
                  <c:v>16.162500000000001</c:v>
                </c:pt>
                <c:pt idx="322">
                  <c:v>17.45</c:v>
                </c:pt>
                <c:pt idx="323">
                  <c:v>21.518750000000001</c:v>
                </c:pt>
                <c:pt idx="324">
                  <c:v>22.587499999999999</c:v>
                </c:pt>
                <c:pt idx="325">
                  <c:v>23.206250000000001</c:v>
                </c:pt>
                <c:pt idx="326">
                  <c:v>25.59375</c:v>
                </c:pt>
                <c:pt idx="327">
                  <c:v>25.762499999999999</c:v>
                </c:pt>
                <c:pt idx="328">
                  <c:v>19.75</c:v>
                </c:pt>
                <c:pt idx="329">
                  <c:v>17.118749999999999</c:v>
                </c:pt>
                <c:pt idx="330">
                  <c:v>21.9</c:v>
                </c:pt>
                <c:pt idx="331">
                  <c:v>24.45</c:v>
                </c:pt>
                <c:pt idx="332">
                  <c:v>22.331250000000001</c:v>
                </c:pt>
                <c:pt idx="333">
                  <c:v>25.056249999999999</c:v>
                </c:pt>
                <c:pt idx="334">
                  <c:v>24.181249999999999</c:v>
                </c:pt>
                <c:pt idx="335">
                  <c:v>26.6</c:v>
                </c:pt>
                <c:pt idx="336">
                  <c:v>31.737500000000001</c:v>
                </c:pt>
                <c:pt idx="337">
                  <c:v>29.53125</c:v>
                </c:pt>
                <c:pt idx="338">
                  <c:v>18.331250000000001</c:v>
                </c:pt>
                <c:pt idx="339">
                  <c:v>17.581250000000001</c:v>
                </c:pt>
                <c:pt idx="340">
                  <c:v>20.193750000000001</c:v>
                </c:pt>
                <c:pt idx="341">
                  <c:v>20.90625</c:v>
                </c:pt>
                <c:pt idx="342">
                  <c:v>20.387499999999999</c:v>
                </c:pt>
                <c:pt idx="343">
                  <c:v>14.525</c:v>
                </c:pt>
                <c:pt idx="344">
                  <c:v>18.018750000000001</c:v>
                </c:pt>
                <c:pt idx="345">
                  <c:v>21.637499999999999</c:v>
                </c:pt>
                <c:pt idx="346">
                  <c:v>25.725000000000001</c:v>
                </c:pt>
                <c:pt idx="347">
                  <c:v>20.518750000000001</c:v>
                </c:pt>
                <c:pt idx="348">
                  <c:v>20.556249999999999</c:v>
                </c:pt>
                <c:pt idx="349">
                  <c:v>22.59375</c:v>
                </c:pt>
                <c:pt idx="350">
                  <c:v>27.556249999999999</c:v>
                </c:pt>
                <c:pt idx="351">
                  <c:v>23.418749999999999</c:v>
                </c:pt>
                <c:pt idx="352">
                  <c:v>19.5</c:v>
                </c:pt>
                <c:pt idx="353">
                  <c:v>24.09375</c:v>
                </c:pt>
                <c:pt idx="354">
                  <c:v>24.9375</c:v>
                </c:pt>
                <c:pt idx="355">
                  <c:v>25.693750000000001</c:v>
                </c:pt>
                <c:pt idx="356">
                  <c:v>21.024999999999999</c:v>
                </c:pt>
                <c:pt idx="357">
                  <c:v>19.106249999999999</c:v>
                </c:pt>
                <c:pt idx="358">
                  <c:v>23.787500000000001</c:v>
                </c:pt>
                <c:pt idx="359">
                  <c:v>29.787500000000001</c:v>
                </c:pt>
                <c:pt idx="360">
                  <c:v>28.512499999999999</c:v>
                </c:pt>
                <c:pt idx="361">
                  <c:v>19.618749999999999</c:v>
                </c:pt>
                <c:pt idx="362">
                  <c:v>16.45</c:v>
                </c:pt>
                <c:pt idx="363">
                  <c:v>15.612500000000001</c:v>
                </c:pt>
                <c:pt idx="364">
                  <c:v>15.725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17-48D6-B5CC-F3007CEF8B18}"/>
            </c:ext>
          </c:extLst>
        </c:ser>
        <c:ser>
          <c:idx val="1"/>
          <c:order val="1"/>
          <c:tx>
            <c:strRef>
              <c:f>TempTrain!$D$5</c:f>
              <c:strCache>
                <c:ptCount val="1"/>
                <c:pt idx="0">
                  <c:v>Model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TempTrain!$D$6:$D$370</c:f>
              <c:numCache>
                <c:formatCode>General</c:formatCode>
                <c:ptCount val="365"/>
                <c:pt idx="0">
                  <c:v>23.489582052235093</c:v>
                </c:pt>
                <c:pt idx="1">
                  <c:v>23.526137457339829</c:v>
                </c:pt>
                <c:pt idx="2">
                  <c:v>23.560599622362748</c:v>
                </c:pt>
                <c:pt idx="3">
                  <c:v>23.592958335420604</c:v>
                </c:pt>
                <c:pt idx="4">
                  <c:v>23.623204007928361</c:v>
                </c:pt>
                <c:pt idx="5">
                  <c:v>23.651327677440499</c:v>
                </c:pt>
                <c:pt idx="6">
                  <c:v>23.67732101030678</c:v>
                </c:pt>
                <c:pt idx="7">
                  <c:v>23.701176304141697</c:v>
                </c:pt>
                <c:pt idx="8">
                  <c:v>23.722886490106848</c:v>
                </c:pt>
                <c:pt idx="9">
                  <c:v>23.742445135005582</c:v>
                </c:pt>
                <c:pt idx="10">
                  <c:v>23.759846443189314</c:v>
                </c:pt>
                <c:pt idx="11">
                  <c:v>23.775085258274871</c:v>
                </c:pt>
                <c:pt idx="12">
                  <c:v>23.788157064672461</c:v>
                </c:pt>
                <c:pt idx="13">
                  <c:v>23.799057988923746</c:v>
                </c:pt>
                <c:pt idx="14">
                  <c:v>23.807784800849596</c:v>
                </c:pt>
                <c:pt idx="15">
                  <c:v>23.81433491450731</c:v>
                </c:pt>
                <c:pt idx="16">
                  <c:v>23.818706388956841</c:v>
                </c:pt>
                <c:pt idx="17">
                  <c:v>23.820897928835961</c:v>
                </c:pt>
                <c:pt idx="18">
                  <c:v>23.820908884744117</c:v>
                </c:pt>
                <c:pt idx="19">
                  <c:v>23.818739253434835</c:v>
                </c:pt>
                <c:pt idx="20">
                  <c:v>23.814389677816688</c:v>
                </c:pt>
                <c:pt idx="21">
                  <c:v>23.807861446762811</c:v>
                </c:pt>
                <c:pt idx="22">
                  <c:v>23.799156494728955</c:v>
                </c:pt>
                <c:pt idx="23">
                  <c:v>23.78827740118027</c:v>
                </c:pt>
                <c:pt idx="24">
                  <c:v>23.775227389826973</c:v>
                </c:pt>
                <c:pt idx="25">
                  <c:v>23.760010327669065</c:v>
                </c:pt>
                <c:pt idx="26">
                  <c:v>23.742630723850475</c:v>
                </c:pt>
                <c:pt idx="27">
                  <c:v>23.723093728322901</c:v>
                </c:pt>
                <c:pt idx="28">
                  <c:v>23.701405130319756</c:v>
                </c:pt>
                <c:pt idx="29">
                  <c:v>23.677571356640708</c:v>
                </c:pt>
                <c:pt idx="30">
                  <c:v>23.651599469747275</c:v>
                </c:pt>
                <c:pt idx="31">
                  <c:v>23.623497165670059</c:v>
                </c:pt>
                <c:pt idx="32">
                  <c:v>23.593272771728259</c:v>
                </c:pt>
                <c:pt idx="33">
                  <c:v>23.560935244062094</c:v>
                </c:pt>
                <c:pt idx="34">
                  <c:v>23.526494164978914</c:v>
                </c:pt>
                <c:pt idx="35">
                  <c:v>23.489959740113747</c:v>
                </c:pt>
                <c:pt idx="36">
                  <c:v>23.451342795405161</c:v>
                </c:pt>
                <c:pt idx="37">
                  <c:v>23.410654773887295</c:v>
                </c:pt>
                <c:pt idx="38">
                  <c:v>23.367907732299045</c:v>
                </c:pt>
                <c:pt idx="39">
                  <c:v>23.323114337511392</c:v>
                </c:pt>
                <c:pt idx="40">
                  <c:v>23.276287862773927</c:v>
                </c:pt>
                <c:pt idx="41">
                  <c:v>23.227442183781712</c:v>
                </c:pt>
                <c:pt idx="42">
                  <c:v>23.176591774563612</c:v>
                </c:pt>
                <c:pt idx="43">
                  <c:v>23.123751703193321</c:v>
                </c:pt>
                <c:pt idx="44">
                  <c:v>23.068937627324367</c:v>
                </c:pt>
                <c:pt idx="45">
                  <c:v>23.012165789550416</c:v>
                </c:pt>
                <c:pt idx="46">
                  <c:v>22.953453012592234</c:v>
                </c:pt>
                <c:pt idx="47">
                  <c:v>22.892816694312764</c:v>
                </c:pt>
                <c:pt idx="48">
                  <c:v>22.830274802561743</c:v>
                </c:pt>
                <c:pt idx="49">
                  <c:v>22.765845869851468</c:v>
                </c:pt>
                <c:pt idx="50">
                  <c:v>22.699548987865192</c:v>
                </c:pt>
                <c:pt idx="51">
                  <c:v>22.631403801799845</c:v>
                </c:pt>
                <c:pt idx="52">
                  <c:v>22.561430504544756</c:v>
                </c:pt>
                <c:pt idx="53">
                  <c:v>22.489649830698049</c:v>
                </c:pt>
                <c:pt idx="54">
                  <c:v>22.416083050422543</c:v>
                </c:pt>
                <c:pt idx="55">
                  <c:v>22.340751963142925</c:v>
                </c:pt>
                <c:pt idx="56">
                  <c:v>22.263678891086141</c:v>
                </c:pt>
                <c:pt idx="57">
                  <c:v>22.184886672666813</c:v>
                </c:pt>
                <c:pt idx="58">
                  <c:v>22.104398655719734</c:v>
                </c:pt>
                <c:pt idx="59">
                  <c:v>22.022238690581396</c:v>
                </c:pt>
                <c:pt idx="60">
                  <c:v>21.938431123022632</c:v>
                </c:pt>
                <c:pt idx="61">
                  <c:v>21.853000787034425</c:v>
                </c:pt>
                <c:pt idx="62">
                  <c:v>21.76597299746906</c:v>
                </c:pt>
                <c:pt idx="63">
                  <c:v>21.677373542538803</c:v>
                </c:pt>
                <c:pt idx="64">
                  <c:v>21.587228676174284</c:v>
                </c:pt>
                <c:pt idx="65">
                  <c:v>21.49556511024489</c:v>
                </c:pt>
                <c:pt idx="66">
                  <c:v>21.402410006643464</c:v>
                </c:pt>
                <c:pt idx="67">
                  <c:v>21.307790969237665</c:v>
                </c:pt>
                <c:pt idx="68">
                  <c:v>21.211736035690311</c:v>
                </c:pt>
                <c:pt idx="69">
                  <c:v>21.114273669151256</c:v>
                </c:pt>
                <c:pt idx="70">
                  <c:v>21.015432749823113</c:v>
                </c:pt>
                <c:pt idx="71">
                  <c:v>20.915242566403435</c:v>
                </c:pt>
                <c:pt idx="72">
                  <c:v>20.813732807405863</c:v>
                </c:pt>
                <c:pt idx="73">
                  <c:v>20.710933552362736</c:v>
                </c:pt>
                <c:pt idx="74">
                  <c:v>20.60687526291192</c:v>
                </c:pt>
                <c:pt idx="75">
                  <c:v>20.501588773770333</c:v>
                </c:pt>
                <c:pt idx="76">
                  <c:v>20.395105283596987</c:v>
                </c:pt>
                <c:pt idx="77">
                  <c:v>20.287456345748115</c:v>
                </c:pt>
                <c:pt idx="78">
                  <c:v>20.178673858927258</c:v>
                </c:pt>
                <c:pt idx="79">
                  <c:v>20.068790057732983</c:v>
                </c:pt>
                <c:pt idx="80">
                  <c:v>19.957837503107061</c:v>
                </c:pt>
                <c:pt idx="81">
                  <c:v>19.84584907268599</c:v>
                </c:pt>
                <c:pt idx="82">
                  <c:v>19.732857951058605</c:v>
                </c:pt>
                <c:pt idx="83">
                  <c:v>19.618897619932795</c:v>
                </c:pt>
                <c:pt idx="84">
                  <c:v>19.504001848214141</c:v>
                </c:pt>
                <c:pt idx="85">
                  <c:v>19.388204681999454</c:v>
                </c:pt>
                <c:pt idx="86">
                  <c:v>19.271540434488191</c:v>
                </c:pt>
                <c:pt idx="87">
                  <c:v>19.154043675814709</c:v>
                </c:pt>
                <c:pt idx="88">
                  <c:v>19.035749222804391</c:v>
                </c:pt>
                <c:pt idx="89">
                  <c:v>18.91669212865667</c:v>
                </c:pt>
                <c:pt idx="90">
                  <c:v>18.796907672558003</c:v>
                </c:pt>
                <c:pt idx="91">
                  <c:v>18.676431349227894</c:v>
                </c:pt>
                <c:pt idx="92">
                  <c:v>18.555298858401034</c:v>
                </c:pt>
                <c:pt idx="93">
                  <c:v>18.433546094248712</c:v>
                </c:pt>
                <c:pt idx="94">
                  <c:v>18.31120913474258</c:v>
                </c:pt>
                <c:pt idx="95">
                  <c:v>18.188324230963996</c:v>
                </c:pt>
                <c:pt idx="96">
                  <c:v>18.064927796362017</c:v>
                </c:pt>
                <c:pt idx="97">
                  <c:v>17.941056395963333</c:v>
                </c:pt>
                <c:pt idx="98">
                  <c:v>17.81674673553724</c:v>
                </c:pt>
                <c:pt idx="99">
                  <c:v>17.69203565071895</c:v>
                </c:pt>
                <c:pt idx="100">
                  <c:v>17.56696009609438</c:v>
                </c:pt>
                <c:pt idx="101">
                  <c:v>17.441557134249713</c:v>
                </c:pt>
                <c:pt idx="102">
                  <c:v>17.315863924788964</c:v>
                </c:pt>
                <c:pt idx="103">
                  <c:v>17.189917713322778</c:v>
                </c:pt>
                <c:pt idx="104">
                  <c:v>17.063755820431751</c:v>
                </c:pt>
                <c:pt idx="105">
                  <c:v>16.93741563060755</c:v>
                </c:pt>
                <c:pt idx="106">
                  <c:v>16.810934581175054</c:v>
                </c:pt>
                <c:pt idx="107">
                  <c:v>16.684350151198906</c:v>
                </c:pt>
                <c:pt idx="108">
                  <c:v>16.557699850377617</c:v>
                </c:pt>
                <c:pt idx="109">
                  <c:v>16.431021207928659</c:v>
                </c:pt>
                <c:pt idx="110">
                  <c:v>16.304351761467736</c:v>
                </c:pt>
                <c:pt idx="111">
                  <c:v>16.177729045885592</c:v>
                </c:pt>
                <c:pt idx="112">
                  <c:v>16.051190582225587</c:v>
                </c:pt>
                <c:pt idx="113">
                  <c:v>15.924773866565436</c:v>
                </c:pt>
                <c:pt idx="114">
                  <c:v>15.798516358906278</c:v>
                </c:pt>
                <c:pt idx="115">
                  <c:v>15.672455472072498</c:v>
                </c:pt>
                <c:pt idx="116">
                  <c:v>15.546628560625477</c:v>
                </c:pt>
                <c:pt idx="117">
                  <c:v>15.421072909794649</c:v>
                </c:pt>
                <c:pt idx="118">
                  <c:v>15.295825724429065</c:v>
                </c:pt>
                <c:pt idx="119">
                  <c:v>15.170924117972802</c:v>
                </c:pt>
                <c:pt idx="120">
                  <c:v>15.046405101467453</c:v>
                </c:pt>
                <c:pt idx="121">
                  <c:v>14.922305572584952</c:v>
                </c:pt>
                <c:pt idx="122">
                  <c:v>14.798662304693991</c:v>
                </c:pt>
                <c:pt idx="123">
                  <c:v>14.675511935963286</c:v>
                </c:pt>
                <c:pt idx="124">
                  <c:v>14.552890958504895</c:v>
                </c:pt>
                <c:pt idx="125">
                  <c:v>14.430835707560814</c:v>
                </c:pt>
                <c:pt idx="126">
                  <c:v>14.309382350736071</c:v>
                </c:pt>
                <c:pt idx="127">
                  <c:v>14.188566877281469</c:v>
                </c:pt>
                <c:pt idx="128">
                  <c:v>14.068425087429201</c:v>
                </c:pt>
                <c:pt idx="129">
                  <c:v>13.948992581784479</c:v>
                </c:pt>
                <c:pt idx="130">
                  <c:v>13.83030475077628</c:v>
                </c:pt>
                <c:pt idx="131">
                  <c:v>13.712396764170435</c:v>
                </c:pt>
                <c:pt idx="132">
                  <c:v>13.595303560648034</c:v>
                </c:pt>
                <c:pt idx="133">
                  <c:v>13.479059837452361</c:v>
                </c:pt>
                <c:pt idx="134">
                  <c:v>13.363700040107341</c:v>
                </c:pt>
                <c:pt idx="135">
                  <c:v>13.249258352210592</c:v>
                </c:pt>
                <c:pt idx="136">
                  <c:v>13.135768685304102</c:v>
                </c:pt>
                <c:pt idx="137">
                  <c:v>13.023264668825476</c:v>
                </c:pt>
                <c:pt idx="138">
                  <c:v>12.911779640142832</c:v>
                </c:pt>
                <c:pt idx="139">
                  <c:v>12.801346634676218</c:v>
                </c:pt>
                <c:pt idx="140">
                  <c:v>12.691998376108483</c:v>
                </c:pt>
                <c:pt idx="141">
                  <c:v>12.58376726668858</c:v>
                </c:pt>
                <c:pt idx="142">
                  <c:v>12.476685377630044</c:v>
                </c:pt>
                <c:pt idx="143">
                  <c:v>12.37078443960762</c:v>
                </c:pt>
                <c:pt idx="144">
                  <c:v>12.266095833354774</c:v>
                </c:pt>
                <c:pt idx="145">
                  <c:v>12.1626505803649</c:v>
                </c:pt>
                <c:pt idx="146">
                  <c:v>12.060479333698998</c:v>
                </c:pt>
                <c:pt idx="147">
                  <c:v>11.959612368902485</c:v>
                </c:pt>
                <c:pt idx="148">
                  <c:v>11.86007957503392</c:v>
                </c:pt>
                <c:pt idx="149">
                  <c:v>11.761910445808219</c:v>
                </c:pt>
                <c:pt idx="150">
                  <c:v>11.665134070857032</c:v>
                </c:pt>
                <c:pt idx="151">
                  <c:v>11.56977912710887</c:v>
                </c:pt>
                <c:pt idx="152">
                  <c:v>11.475873870291487</c:v>
                </c:pt>
                <c:pt idx="153">
                  <c:v>11.383446126559123</c:v>
                </c:pt>
                <c:pt idx="154">
                  <c:v>11.292523284246998</c:v>
                </c:pt>
                <c:pt idx="155">
                  <c:v>11.203132285755563</c:v>
                </c:pt>
                <c:pt idx="156">
                  <c:v>11.115299619566892</c:v>
                </c:pt>
                <c:pt idx="157">
                  <c:v>11.029051312395559</c:v>
                </c:pt>
                <c:pt idx="158">
                  <c:v>10.944412921476367</c:v>
                </c:pt>
                <c:pt idx="159">
                  <c:v>10.861409526991196</c:v>
                </c:pt>
                <c:pt idx="160">
                  <c:v>10.780065724637184</c:v>
                </c:pt>
                <c:pt idx="161">
                  <c:v>10.700405618338522</c:v>
                </c:pt>
                <c:pt idx="162">
                  <c:v>10.622452813103905</c:v>
                </c:pt>
                <c:pt idx="163">
                  <c:v>10.546230408031885</c:v>
                </c:pt>
                <c:pt idx="164">
                  <c:v>10.471760989466098</c:v>
                </c:pt>
                <c:pt idx="165">
                  <c:v>10.399066624302449</c:v>
                </c:pt>
                <c:pt idx="166">
                  <c:v>10.328168853450208</c:v>
                </c:pt>
                <c:pt idx="167">
                  <c:v>10.25908868544898</c:v>
                </c:pt>
                <c:pt idx="168">
                  <c:v>10.191846590243411</c:v>
                </c:pt>
                <c:pt idx="169">
                  <c:v>10.126462493117515</c:v>
                </c:pt>
                <c:pt idx="170">
                  <c:v>10.062955768790378</c:v>
                </c:pt>
                <c:pt idx="171">
                  <c:v>10.001345235675004</c:v>
                </c:pt>
                <c:pt idx="172">
                  <c:v>9.9416491503020179</c:v>
                </c:pt>
                <c:pt idx="173">
                  <c:v>9.883885201909866</c:v>
                </c:pt>
                <c:pt idx="174">
                  <c:v>9.8280705072030994</c:v>
                </c:pt>
                <c:pt idx="175">
                  <c:v>9.7742216052803439</c:v>
                </c:pt>
                <c:pt idx="176">
                  <c:v>9.7223544527333932</c:v>
                </c:pt>
                <c:pt idx="177">
                  <c:v>9.6724844189189305</c:v>
                </c:pt>
                <c:pt idx="178">
                  <c:v>9.6246262814042609</c:v>
                </c:pt>
                <c:pt idx="179">
                  <c:v>9.5787942215883888</c:v>
                </c:pt>
                <c:pt idx="180">
                  <c:v>9.5350018204997777</c:v>
                </c:pt>
                <c:pt idx="181">
                  <c:v>9.4932620547719893</c:v>
                </c:pt>
                <c:pt idx="182">
                  <c:v>9.4535872927984208</c:v>
                </c:pt>
                <c:pt idx="183">
                  <c:v>9.4159892910673033</c:v>
                </c:pt>
                <c:pt idx="184">
                  <c:v>9.3804791906779759</c:v>
                </c:pt>
                <c:pt idx="185">
                  <c:v>9.3470675140395585</c:v>
                </c:pt>
                <c:pt idx="186">
                  <c:v>9.3157641617529183</c:v>
                </c:pt>
                <c:pt idx="187">
                  <c:v>9.2865784096769222</c:v>
                </c:pt>
                <c:pt idx="188">
                  <c:v>9.2595189061797889</c:v>
                </c:pt>
                <c:pt idx="189">
                  <c:v>9.2345936695763982</c:v>
                </c:pt>
                <c:pt idx="190">
                  <c:v>9.2118100857522851</c:v>
                </c:pt>
                <c:pt idx="191">
                  <c:v>9.1911749059750463</c:v>
                </c:pt>
                <c:pt idx="192">
                  <c:v>9.1726942448937958</c:v>
                </c:pt>
                <c:pt idx="193">
                  <c:v>9.1563735787272549</c:v>
                </c:pt>
                <c:pt idx="194">
                  <c:v>9.142217743641039</c:v>
                </c:pt>
                <c:pt idx="195">
                  <c:v>9.1302309343145893</c:v>
                </c:pt>
                <c:pt idx="196">
                  <c:v>9.1204167026982113</c:v>
                </c:pt>
                <c:pt idx="197">
                  <c:v>9.1127779569605352</c:v>
                </c:pt>
                <c:pt idx="198">
                  <c:v>9.1073169606267861</c:v>
                </c:pt>
                <c:pt idx="199">
                  <c:v>9.1040353319080296</c:v>
                </c:pt>
                <c:pt idx="200">
                  <c:v>9.1029340432216834</c:v>
                </c:pt>
                <c:pt idx="201">
                  <c:v>9.1040134209033532</c:v>
                </c:pt>
                <c:pt idx="202">
                  <c:v>9.107273145110133</c:v>
                </c:pt>
                <c:pt idx="203">
                  <c:v>9.1127122499153934</c:v>
                </c:pt>
                <c:pt idx="204">
                  <c:v>9.1203291235949919</c:v>
                </c:pt>
                <c:pt idx="205">
                  <c:v>9.1301215091048746</c:v>
                </c:pt>
                <c:pt idx="206">
                  <c:v>9.1420865047498783</c:v>
                </c:pt>
                <c:pt idx="207">
                  <c:v>9.1562205650435651</c:v>
                </c:pt>
                <c:pt idx="208">
                  <c:v>9.1725195017588312</c:v>
                </c:pt>
                <c:pt idx="209">
                  <c:v>9.1909784851689729</c:v>
                </c:pt>
                <c:pt idx="210">
                  <c:v>9.2115920454788238</c:v>
                </c:pt>
                <c:pt idx="211">
                  <c:v>9.2343540744455872</c:v>
                </c:pt>
                <c:pt idx="212">
                  <c:v>9.2592578271888399</c:v>
                </c:pt>
                <c:pt idx="213">
                  <c:v>9.2862959241891705</c:v>
                </c:pt>
                <c:pt idx="214">
                  <c:v>9.3154603534749132</c:v>
                </c:pt>
                <c:pt idx="215">
                  <c:v>9.3467424729962474</c:v>
                </c:pt>
                <c:pt idx="216">
                  <c:v>9.3801330131860379</c:v>
                </c:pt>
                <c:pt idx="217">
                  <c:v>9.4156220797065977</c:v>
                </c:pt>
                <c:pt idx="218">
                  <c:v>9.4531991563816007</c:v>
                </c:pt>
                <c:pt idx="219">
                  <c:v>9.49285310831225</c:v>
                </c:pt>
                <c:pt idx="220">
                  <c:v>9.5345721851767831</c:v>
                </c:pt>
                <c:pt idx="221">
                  <c:v>9.5783440247123561</c:v>
                </c:pt>
                <c:pt idx="222">
                  <c:v>9.6241556563782389</c:v>
                </c:pt>
                <c:pt idx="223">
                  <c:v>9.6719935051992749</c:v>
                </c:pt>
                <c:pt idx="224">
                  <c:v>9.7218433957884329</c:v>
                </c:pt>
                <c:pt idx="225">
                  <c:v>9.7736905565472796</c:v>
                </c:pt>
                <c:pt idx="226">
                  <c:v>9.8275196240431324</c:v>
                </c:pt>
                <c:pt idx="227">
                  <c:v>9.8833146475615656</c:v>
                </c:pt>
                <c:pt idx="228">
                  <c:v>9.9410590938329531</c:v>
                </c:pt>
                <c:pt idx="229">
                  <c:v>10.000735851931639</c:v>
                </c:pt>
                <c:pt idx="230">
                  <c:v>10.062327238346267</c:v>
                </c:pt>
                <c:pt idx="231">
                  <c:v>10.125815002219795</c:v>
                </c:pt>
                <c:pt idx="232">
                  <c:v>10.191180330757605</c:v>
                </c:pt>
                <c:pt idx="233">
                  <c:v>10.258403854802157</c:v>
                </c:pt>
                <c:pt idx="234">
                  <c:v>10.327465654572467</c:v>
                </c:pt>
                <c:pt idx="235">
                  <c:v>10.398345265566794</c:v>
                </c:pt>
                <c:pt idx="236">
                  <c:v>10.471021684626692</c:v>
                </c:pt>
                <c:pt idx="237">
                  <c:v>10.545473376160704</c:v>
                </c:pt>
                <c:pt idx="238">
                  <c:v>10.621678278525833</c:v>
                </c:pt>
                <c:pt idx="239">
                  <c:v>10.699613810564868</c:v>
                </c:pt>
                <c:pt idx="240">
                  <c:v>10.779256878297685</c:v>
                </c:pt>
                <c:pt idx="241">
                  <c:v>10.860583881764473</c:v>
                </c:pt>
                <c:pt idx="242">
                  <c:v>10.943570722018922</c:v>
                </c:pt>
                <c:pt idx="243">
                  <c:v>11.028192808269271</c:v>
                </c:pt>
                <c:pt idx="244">
                  <c:v>11.114425065165056</c:v>
                </c:pt>
                <c:pt idx="245">
                  <c:v>11.202241940227527</c:v>
                </c:pt>
                <c:pt idx="246">
                  <c:v>11.291617411421354</c:v>
                </c:pt>
                <c:pt idx="247">
                  <c:v>11.382524994865538</c:v>
                </c:pt>
                <c:pt idx="248">
                  <c:v>11.474937752681166</c:v>
                </c:pt>
                <c:pt idx="249">
                  <c:v>11.56882830097366</c:v>
                </c:pt>
                <c:pt idx="250">
                  <c:v>11.664168817947242</c:v>
                </c:pt>
                <c:pt idx="251">
                  <c:v>11.760931052149115</c:v>
                </c:pt>
                <c:pt idx="252">
                  <c:v>11.859086330840977</c:v>
                </c:pt>
                <c:pt idx="253">
                  <c:v>11.9586055684954</c:v>
                </c:pt>
                <c:pt idx="254">
                  <c:v>12.059459275414454</c:v>
                </c:pt>
                <c:pt idx="255">
                  <c:v>12.161617566468189</c:v>
                </c:pt>
                <c:pt idx="256">
                  <c:v>12.265050169950204</c:v>
                </c:pt>
                <c:pt idx="257">
                  <c:v>12.369726436547822</c:v>
                </c:pt>
                <c:pt idx="258">
                  <c:v>12.475615348424164</c:v>
                </c:pt>
                <c:pt idx="259">
                  <c:v>12.582685528409357</c:v>
                </c:pt>
                <c:pt idx="260">
                  <c:v>12.690905249298323</c:v>
                </c:pt>
                <c:pt idx="261">
                  <c:v>12.800242443252181</c:v>
                </c:pt>
                <c:pt idx="262">
                  <c:v>12.910664711300669</c:v>
                </c:pt>
                <c:pt idx="263">
                  <c:v>13.022139332942666</c:v>
                </c:pt>
                <c:pt idx="264">
                  <c:v>13.134633275841951</c:v>
                </c:pt>
                <c:pt idx="265">
                  <c:v>13.248113205615434</c:v>
                </c:pt>
                <c:pt idx="266">
                  <c:v>13.362545495710821</c:v>
                </c:pt>
                <c:pt idx="267">
                  <c:v>13.477896237370899</c:v>
                </c:pt>
                <c:pt idx="268">
                  <c:v>13.594131249681455</c:v>
                </c:pt>
                <c:pt idx="269">
                  <c:v>13.71121608969977</c:v>
                </c:pt>
                <c:pt idx="270">
                  <c:v>13.829116062660862</c:v>
                </c:pt>
                <c:pt idx="271">
                  <c:v>13.947796232258247</c:v>
                </c:pt>
                <c:pt idx="272">
                  <c:v>14.067221430996337</c:v>
                </c:pt>
                <c:pt idx="273">
                  <c:v>14.187356270611357</c:v>
                </c:pt>
                <c:pt idx="274">
                  <c:v>14.308165152557589</c:v>
                </c:pt>
                <c:pt idx="275">
                  <c:v>14.429612278556057</c:v>
                </c:pt>
                <c:pt idx="276">
                  <c:v>14.551661661202278</c:v>
                </c:pt>
                <c:pt idx="277">
                  <c:v>14.674277134630126</c:v>
                </c:pt>
                <c:pt idx="278">
                  <c:v>14.797422365228579</c:v>
                </c:pt>
                <c:pt idx="279">
                  <c:v>14.921060862408106</c:v>
                </c:pt>
                <c:pt idx="280">
                  <c:v>15.045155989413669</c:v>
                </c:pt>
                <c:pt idx="281">
                  <c:v>15.169670974180935</c:v>
                </c:pt>
                <c:pt idx="282">
                  <c:v>15.294568920232662</c:v>
                </c:pt>
                <c:pt idx="283">
                  <c:v>15.419812817611923</c:v>
                </c:pt>
                <c:pt idx="284">
                  <c:v>15.545365553848933</c:v>
                </c:pt>
                <c:pt idx="285">
                  <c:v>15.671189924958306</c:v>
                </c:pt>
                <c:pt idx="286">
                  <c:v>15.797248646463361</c:v>
                </c:pt>
                <c:pt idx="287">
                  <c:v>15.923504364444343</c:v>
                </c:pt>
                <c:pt idx="288">
                  <c:v>16.049919666607202</c:v>
                </c:pt>
                <c:pt idx="289">
                  <c:v>16.176457093369631</c:v>
                </c:pt>
                <c:pt idx="290">
                  <c:v>16.303079148961196</c:v>
                </c:pt>
                <c:pt idx="291">
                  <c:v>16.42974831253408</c:v>
                </c:pt>
                <c:pt idx="292">
                  <c:v>16.556427049281378</c:v>
                </c:pt>
                <c:pt idx="293">
                  <c:v>16.683077821559444</c:v>
                </c:pt>
                <c:pt idx="294">
                  <c:v>16.809663100011097</c:v>
                </c:pt>
                <c:pt idx="295">
                  <c:v>16.936145374686408</c:v>
                </c:pt>
                <c:pt idx="296">
                  <c:v>17.062487166157673</c:v>
                </c:pt>
                <c:pt idx="297">
                  <c:v>17.188651036625394</c:v>
                </c:pt>
                <c:pt idx="298">
                  <c:v>17.314599601011928</c:v>
                </c:pt>
                <c:pt idx="299">
                  <c:v>17.440295538039436</c:v>
                </c:pt>
                <c:pt idx="300">
                  <c:v>17.565701601289057</c:v>
                </c:pt>
                <c:pt idx="301">
                  <c:v>17.69078063023775</c:v>
                </c:pt>
                <c:pt idx="302">
                  <c:v>17.815495561269813</c:v>
                </c:pt>
                <c:pt idx="303">
                  <c:v>17.939809438659619</c:v>
                </c:pt>
                <c:pt idx="304">
                  <c:v>18.063685425522372</c:v>
                </c:pt>
                <c:pt idx="305">
                  <c:v>18.187086814729721</c:v>
                </c:pt>
                <c:pt idx="306">
                  <c:v>18.309977039786808</c:v>
                </c:pt>
                <c:pt idx="307">
                  <c:v>18.43231968566776</c:v>
                </c:pt>
                <c:pt idx="308">
                  <c:v>18.554078499606248</c:v>
                </c:pt>
                <c:pt idx="309">
                  <c:v>18.675217401837909</c:v>
                </c:pt>
                <c:pt idx="310">
                  <c:v>18.795700496291641</c:v>
                </c:pt>
                <c:pt idx="311">
                  <c:v>18.915492081226308</c:v>
                </c:pt>
                <c:pt idx="312">
                  <c:v>19.034556659809976</c:v>
                </c:pt>
                <c:pt idx="313">
                  <c:v>19.1528589506384</c:v>
                </c:pt>
                <c:pt idx="314">
                  <c:v>19.270363898189622</c:v>
                </c:pt>
                <c:pt idx="315">
                  <c:v>19.387036683211726</c:v>
                </c:pt>
                <c:pt idx="316">
                  <c:v>19.502842733040502</c:v>
                </c:pt>
                <c:pt idx="317">
                  <c:v>19.617747731844084</c:v>
                </c:pt>
                <c:pt idx="318">
                  <c:v>19.731717630791479</c:v>
                </c:pt>
                <c:pt idx="319">
                  <c:v>19.844718658141954</c:v>
                </c:pt>
                <c:pt idx="320">
                  <c:v>19.956717329252346</c:v>
                </c:pt>
                <c:pt idx="321">
                  <c:v>20.067680456499271</c:v>
                </c:pt>
                <c:pt idx="322">
                  <c:v>20.177575159113346</c:v>
                </c:pt>
                <c:pt idx="323">
                  <c:v>20.28636887292247</c:v>
                </c:pt>
                <c:pt idx="324">
                  <c:v>20.394029360001277</c:v>
                </c:pt>
                <c:pt idx="325">
                  <c:v>20.500524718223936</c:v>
                </c:pt>
                <c:pt idx="326">
                  <c:v>20.605823390717457</c:v>
                </c:pt>
                <c:pt idx="327">
                  <c:v>20.709894175212643</c:v>
                </c:pt>
                <c:pt idx="328">
                  <c:v>20.812706233290022</c:v>
                </c:pt>
                <c:pt idx="329">
                  <c:v>20.914229099517918</c:v>
                </c:pt>
                <c:pt idx="330">
                  <c:v>21.014432690480017</c:v>
                </c:pt>
                <c:pt idx="331">
                  <c:v>21.11328731368976</c:v>
                </c:pt>
                <c:pt idx="332">
                  <c:v>21.210763676388815</c:v>
                </c:pt>
                <c:pt idx="333">
                  <c:v>21.30683289422722</c:v>
                </c:pt>
                <c:pt idx="334">
                  <c:v>21.401466499822376</c:v>
                </c:pt>
                <c:pt idx="335">
                  <c:v>21.494636451194584</c:v>
                </c:pt>
                <c:pt idx="336">
                  <c:v>21.586315140076486</c:v>
                </c:pt>
                <c:pt idx="337">
                  <c:v>21.67647540009397</c:v>
                </c:pt>
                <c:pt idx="338">
                  <c:v>21.765090514816187</c:v>
                </c:pt>
                <c:pt idx="339">
                  <c:v>21.852134225672163</c:v>
                </c:pt>
                <c:pt idx="340">
                  <c:v>21.937580739731818</c:v>
                </c:pt>
                <c:pt idx="341">
                  <c:v>22.021404737348952</c:v>
                </c:pt>
                <c:pt idx="342">
                  <c:v>22.103581379663993</c:v>
                </c:pt>
                <c:pt idx="343">
                  <c:v>22.184086315964318</c:v>
                </c:pt>
                <c:pt idx="344">
                  <c:v>22.262895690899853</c:v>
                </c:pt>
                <c:pt idx="345">
                  <c:v>22.339986151551962</c:v>
                </c:pt>
                <c:pt idx="346">
                  <c:v>22.415334854353404</c:v>
                </c:pt>
                <c:pt idx="347">
                  <c:v>22.488919471857383</c:v>
                </c:pt>
                <c:pt idx="348">
                  <c:v>22.560718199353644</c:v>
                </c:pt>
                <c:pt idx="349">
                  <c:v>22.63070976132969</c:v>
                </c:pt>
                <c:pt idx="350">
                  <c:v>22.698873417775161</c:v>
                </c:pt>
                <c:pt idx="351">
                  <c:v>22.765188970327568</c:v>
                </c:pt>
                <c:pt idx="352">
                  <c:v>22.829636768257473</c:v>
                </c:pt>
                <c:pt idx="353">
                  <c:v>22.892197714291456</c:v>
                </c:pt>
                <c:pt idx="354">
                  <c:v>22.952853270271035</c:v>
                </c:pt>
                <c:pt idx="355">
                  <c:v>23.011585462645911</c:v>
                </c:pt>
                <c:pt idx="356">
                  <c:v>23.06837688779995</c:v>
                </c:pt>
                <c:pt idx="357">
                  <c:v>23.123210717208206</c:v>
                </c:pt>
                <c:pt idx="358">
                  <c:v>23.17607070242363</c:v>
                </c:pt>
                <c:pt idx="359">
                  <c:v>23.226941179891778</c:v>
                </c:pt>
                <c:pt idx="360">
                  <c:v>23.275807075592304</c:v>
                </c:pt>
                <c:pt idx="361">
                  <c:v>23.322653909505703</c:v>
                </c:pt>
                <c:pt idx="362">
                  <c:v>23.367467799904048</c:v>
                </c:pt>
                <c:pt idx="363">
                  <c:v>23.410235467464449</c:v>
                </c:pt>
                <c:pt idx="364">
                  <c:v>23.450944239204009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17-48D6-B5CC-F3007CEF8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800368"/>
        <c:axId val="906800008"/>
      </c:lineChart>
      <c:catAx>
        <c:axId val="906800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800008"/>
        <c:crosses val="autoZero"/>
        <c:auto val="1"/>
        <c:lblAlgn val="ctr"/>
        <c:lblOffset val="100"/>
        <c:noMultiLvlLbl val="0"/>
      </c:catAx>
      <c:valAx>
        <c:axId val="90680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80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TempTrain!$A$9:$A$370</c:f>
              <c:numCache>
                <c:formatCode>General</c:formatCode>
                <c:ptCount val="362"/>
                <c:pt idx="0">
                  <c:v>17.824999999999999</c:v>
                </c:pt>
                <c:pt idx="1">
                  <c:v>18.137499999999999</c:v>
                </c:pt>
                <c:pt idx="2">
                  <c:v>20.918749999999999</c:v>
                </c:pt>
                <c:pt idx="3">
                  <c:v>24.037500000000001</c:v>
                </c:pt>
                <c:pt idx="4">
                  <c:v>27.975000000000001</c:v>
                </c:pt>
                <c:pt idx="5">
                  <c:v>31.618749999999999</c:v>
                </c:pt>
                <c:pt idx="6">
                  <c:v>27.806249999999999</c:v>
                </c:pt>
                <c:pt idx="7">
                  <c:v>21.681249999999999</c:v>
                </c:pt>
                <c:pt idx="8">
                  <c:v>19.912500000000001</c:v>
                </c:pt>
                <c:pt idx="9">
                  <c:v>18.2</c:v>
                </c:pt>
                <c:pt idx="10">
                  <c:v>20.893750000000001</c:v>
                </c:pt>
                <c:pt idx="11">
                  <c:v>25.231249999999999</c:v>
                </c:pt>
                <c:pt idx="12">
                  <c:v>28.524999999999999</c:v>
                </c:pt>
                <c:pt idx="13">
                  <c:v>27.862500000000001</c:v>
                </c:pt>
                <c:pt idx="14">
                  <c:v>20.824999999999999</c:v>
                </c:pt>
                <c:pt idx="15">
                  <c:v>24.09375</c:v>
                </c:pt>
                <c:pt idx="16">
                  <c:v>23.45</c:v>
                </c:pt>
                <c:pt idx="17">
                  <c:v>20.975000000000001</c:v>
                </c:pt>
                <c:pt idx="18">
                  <c:v>22.206250000000001</c:v>
                </c:pt>
                <c:pt idx="19">
                  <c:v>28.84375</c:v>
                </c:pt>
                <c:pt idx="20">
                  <c:v>22.131250000000001</c:v>
                </c:pt>
                <c:pt idx="21">
                  <c:v>21.318750000000001</c:v>
                </c:pt>
                <c:pt idx="22">
                  <c:v>22.681249999999999</c:v>
                </c:pt>
                <c:pt idx="23">
                  <c:v>23.59375</c:v>
                </c:pt>
                <c:pt idx="24">
                  <c:v>24.306249999999999</c:v>
                </c:pt>
                <c:pt idx="25">
                  <c:v>28.862500000000001</c:v>
                </c:pt>
                <c:pt idx="26">
                  <c:v>28.875</c:v>
                </c:pt>
                <c:pt idx="27">
                  <c:v>27.46875</c:v>
                </c:pt>
                <c:pt idx="28">
                  <c:v>22.868749999999999</c:v>
                </c:pt>
                <c:pt idx="29">
                  <c:v>24.725000000000001</c:v>
                </c:pt>
                <c:pt idx="30">
                  <c:v>27.393750000000001</c:v>
                </c:pt>
                <c:pt idx="31">
                  <c:v>28.21875</c:v>
                </c:pt>
                <c:pt idx="32">
                  <c:v>32.037500000000001</c:v>
                </c:pt>
                <c:pt idx="33">
                  <c:v>34.225000000000001</c:v>
                </c:pt>
                <c:pt idx="34">
                  <c:v>32.006259999999997</c:v>
                </c:pt>
                <c:pt idx="35">
                  <c:v>34.543750000000003</c:v>
                </c:pt>
                <c:pt idx="36">
                  <c:v>34.387500000000003</c:v>
                </c:pt>
                <c:pt idx="37">
                  <c:v>28.293749999999999</c:v>
                </c:pt>
                <c:pt idx="38">
                  <c:v>27.125</c:v>
                </c:pt>
                <c:pt idx="39">
                  <c:v>28.081250000000001</c:v>
                </c:pt>
                <c:pt idx="40">
                  <c:v>26.743749999999999</c:v>
                </c:pt>
                <c:pt idx="41">
                  <c:v>29.787500000000001</c:v>
                </c:pt>
                <c:pt idx="42">
                  <c:v>24.606249999999999</c:v>
                </c:pt>
                <c:pt idx="43">
                  <c:v>18.893750000000001</c:v>
                </c:pt>
                <c:pt idx="44">
                  <c:v>19.131250000000001</c:v>
                </c:pt>
                <c:pt idx="45">
                  <c:v>24.431249999999999</c:v>
                </c:pt>
                <c:pt idx="46">
                  <c:v>19.868749999999999</c:v>
                </c:pt>
                <c:pt idx="47">
                  <c:v>17.918749999999999</c:v>
                </c:pt>
                <c:pt idx="48">
                  <c:v>19.393750000000001</c:v>
                </c:pt>
                <c:pt idx="49">
                  <c:v>22.356249999999999</c:v>
                </c:pt>
                <c:pt idx="50">
                  <c:v>20.993749999999999</c:v>
                </c:pt>
                <c:pt idx="51">
                  <c:v>22.21875</c:v>
                </c:pt>
                <c:pt idx="52">
                  <c:v>24.875</c:v>
                </c:pt>
                <c:pt idx="53">
                  <c:v>25.162500000000001</c:v>
                </c:pt>
                <c:pt idx="54">
                  <c:v>23.575009999999999</c:v>
                </c:pt>
                <c:pt idx="55">
                  <c:v>20.662500000000001</c:v>
                </c:pt>
                <c:pt idx="56">
                  <c:v>23.543749999999999</c:v>
                </c:pt>
                <c:pt idx="57">
                  <c:v>24.256250000000001</c:v>
                </c:pt>
                <c:pt idx="58">
                  <c:v>25.168749999999999</c:v>
                </c:pt>
                <c:pt idx="59">
                  <c:v>27.175000000000001</c:v>
                </c:pt>
                <c:pt idx="60">
                  <c:v>22.587499999999999</c:v>
                </c:pt>
                <c:pt idx="61">
                  <c:v>17.493749999999999</c:v>
                </c:pt>
                <c:pt idx="62">
                  <c:v>19</c:v>
                </c:pt>
                <c:pt idx="63">
                  <c:v>21.043749999999999</c:v>
                </c:pt>
                <c:pt idx="64">
                  <c:v>19.274999999999999</c:v>
                </c:pt>
                <c:pt idx="65">
                  <c:v>21.0625</c:v>
                </c:pt>
                <c:pt idx="66">
                  <c:v>16.137499999999999</c:v>
                </c:pt>
                <c:pt idx="67">
                  <c:v>15.28125</c:v>
                </c:pt>
                <c:pt idx="68">
                  <c:v>18.600000000000001</c:v>
                </c:pt>
                <c:pt idx="69">
                  <c:v>18.3</c:v>
                </c:pt>
                <c:pt idx="70">
                  <c:v>21.3</c:v>
                </c:pt>
                <c:pt idx="71">
                  <c:v>22.056249999999999</c:v>
                </c:pt>
                <c:pt idx="72">
                  <c:v>24.212499999999999</c:v>
                </c:pt>
                <c:pt idx="73">
                  <c:v>26.225000000000001</c:v>
                </c:pt>
                <c:pt idx="74">
                  <c:v>20.881250000000001</c:v>
                </c:pt>
                <c:pt idx="75">
                  <c:v>16.45</c:v>
                </c:pt>
                <c:pt idx="76">
                  <c:v>14.893750000000001</c:v>
                </c:pt>
                <c:pt idx="77">
                  <c:v>18.118749999999999</c:v>
                </c:pt>
                <c:pt idx="78">
                  <c:v>18.693750000000001</c:v>
                </c:pt>
                <c:pt idx="79">
                  <c:v>19.143750000000001</c:v>
                </c:pt>
                <c:pt idx="80">
                  <c:v>19.25</c:v>
                </c:pt>
                <c:pt idx="81">
                  <c:v>21.46875</c:v>
                </c:pt>
                <c:pt idx="82">
                  <c:v>23.53125</c:v>
                </c:pt>
                <c:pt idx="83">
                  <c:v>18.856249999999999</c:v>
                </c:pt>
                <c:pt idx="84">
                  <c:v>13.00625</c:v>
                </c:pt>
                <c:pt idx="85">
                  <c:v>12.65</c:v>
                </c:pt>
                <c:pt idx="86">
                  <c:v>14.025</c:v>
                </c:pt>
                <c:pt idx="87">
                  <c:v>17.125</c:v>
                </c:pt>
                <c:pt idx="88">
                  <c:v>18.15625</c:v>
                </c:pt>
                <c:pt idx="89">
                  <c:v>15.06875</c:v>
                </c:pt>
                <c:pt idx="90">
                  <c:v>14.8375</c:v>
                </c:pt>
                <c:pt idx="91">
                  <c:v>17.637499999999999</c:v>
                </c:pt>
                <c:pt idx="92">
                  <c:v>19.331250000000001</c:v>
                </c:pt>
                <c:pt idx="93">
                  <c:v>20.85</c:v>
                </c:pt>
                <c:pt idx="94">
                  <c:v>17.018750000000001</c:v>
                </c:pt>
                <c:pt idx="95">
                  <c:v>17.40625</c:v>
                </c:pt>
                <c:pt idx="96">
                  <c:v>15.637499999999999</c:v>
                </c:pt>
                <c:pt idx="97">
                  <c:v>16.743749999999999</c:v>
                </c:pt>
                <c:pt idx="98">
                  <c:v>17.21875</c:v>
                </c:pt>
                <c:pt idx="99">
                  <c:v>17.393750000000001</c:v>
                </c:pt>
                <c:pt idx="100">
                  <c:v>19.90626</c:v>
                </c:pt>
                <c:pt idx="101">
                  <c:v>20.425000000000001</c:v>
                </c:pt>
                <c:pt idx="102">
                  <c:v>21.574999999999999</c:v>
                </c:pt>
                <c:pt idx="103">
                  <c:v>22.15</c:v>
                </c:pt>
                <c:pt idx="104">
                  <c:v>22.493749999999999</c:v>
                </c:pt>
                <c:pt idx="105">
                  <c:v>21.462499999999999</c:v>
                </c:pt>
                <c:pt idx="106">
                  <c:v>18.59375</c:v>
                </c:pt>
                <c:pt idx="107">
                  <c:v>21.337499999999999</c:v>
                </c:pt>
                <c:pt idx="108">
                  <c:v>17.318750000000001</c:v>
                </c:pt>
                <c:pt idx="109">
                  <c:v>15.05</c:v>
                </c:pt>
                <c:pt idx="110">
                  <c:v>15.225</c:v>
                </c:pt>
                <c:pt idx="111">
                  <c:v>14.06875</c:v>
                </c:pt>
                <c:pt idx="112">
                  <c:v>13.625</c:v>
                </c:pt>
                <c:pt idx="113">
                  <c:v>15.025</c:v>
                </c:pt>
                <c:pt idx="114">
                  <c:v>12.85</c:v>
                </c:pt>
                <c:pt idx="115">
                  <c:v>13.375</c:v>
                </c:pt>
                <c:pt idx="116">
                  <c:v>16.106249999999999</c:v>
                </c:pt>
                <c:pt idx="117">
                  <c:v>16.425000000000001</c:v>
                </c:pt>
                <c:pt idx="118">
                  <c:v>14.1</c:v>
                </c:pt>
                <c:pt idx="119">
                  <c:v>11.475</c:v>
                </c:pt>
                <c:pt idx="120">
                  <c:v>12.44375</c:v>
                </c:pt>
                <c:pt idx="121">
                  <c:v>13.481249999999999</c:v>
                </c:pt>
                <c:pt idx="122">
                  <c:v>10.125</c:v>
                </c:pt>
                <c:pt idx="123">
                  <c:v>9.5562509999999996</c:v>
                </c:pt>
                <c:pt idx="124">
                  <c:v>9.8062509999999996</c:v>
                </c:pt>
                <c:pt idx="125">
                  <c:v>9.7875019999999999</c:v>
                </c:pt>
                <c:pt idx="126">
                  <c:v>12.6875</c:v>
                </c:pt>
                <c:pt idx="127">
                  <c:v>14.456250000000001</c:v>
                </c:pt>
                <c:pt idx="128">
                  <c:v>14.8375</c:v>
                </c:pt>
                <c:pt idx="129">
                  <c:v>14.987500000000001</c:v>
                </c:pt>
                <c:pt idx="130">
                  <c:v>16.987500000000001</c:v>
                </c:pt>
                <c:pt idx="131">
                  <c:v>12.96875</c:v>
                </c:pt>
                <c:pt idx="132">
                  <c:v>12.543749999999999</c:v>
                </c:pt>
                <c:pt idx="133">
                  <c:v>12.512499999999999</c:v>
                </c:pt>
                <c:pt idx="134">
                  <c:v>12.18125</c:v>
                </c:pt>
                <c:pt idx="135">
                  <c:v>12.4</c:v>
                </c:pt>
                <c:pt idx="136">
                  <c:v>12.175000000000001</c:v>
                </c:pt>
                <c:pt idx="137">
                  <c:v>10.53125</c:v>
                </c:pt>
                <c:pt idx="138">
                  <c:v>9.5500000000000007</c:v>
                </c:pt>
                <c:pt idx="139">
                  <c:v>8.9000020000000006</c:v>
                </c:pt>
                <c:pt idx="140">
                  <c:v>9.3500010000000007</c:v>
                </c:pt>
                <c:pt idx="141">
                  <c:v>9.1312519999999999</c:v>
                </c:pt>
                <c:pt idx="142">
                  <c:v>8.3812510000000007</c:v>
                </c:pt>
                <c:pt idx="143">
                  <c:v>9.2187509999999993</c:v>
                </c:pt>
                <c:pt idx="144">
                  <c:v>9.5375010000000007</c:v>
                </c:pt>
                <c:pt idx="145">
                  <c:v>10.725</c:v>
                </c:pt>
                <c:pt idx="146">
                  <c:v>10.84375</c:v>
                </c:pt>
                <c:pt idx="147">
                  <c:v>11.324999999999999</c:v>
                </c:pt>
                <c:pt idx="148">
                  <c:v>10.88125</c:v>
                </c:pt>
                <c:pt idx="149">
                  <c:v>12.112500000000001</c:v>
                </c:pt>
                <c:pt idx="150">
                  <c:v>12.6875</c:v>
                </c:pt>
                <c:pt idx="151">
                  <c:v>9.4437499999999996</c:v>
                </c:pt>
                <c:pt idx="152">
                  <c:v>9.4187519999999996</c:v>
                </c:pt>
                <c:pt idx="153">
                  <c:v>8.6500020000000006</c:v>
                </c:pt>
                <c:pt idx="154">
                  <c:v>7.7874999999999996</c:v>
                </c:pt>
                <c:pt idx="155">
                  <c:v>7.8187499999999996</c:v>
                </c:pt>
                <c:pt idx="156">
                  <c:v>7.8562510000000003</c:v>
                </c:pt>
                <c:pt idx="157">
                  <c:v>11.3375</c:v>
                </c:pt>
                <c:pt idx="158">
                  <c:v>7.7625000000000002</c:v>
                </c:pt>
                <c:pt idx="159">
                  <c:v>7.9749999999999996</c:v>
                </c:pt>
                <c:pt idx="160">
                  <c:v>12.518750000000001</c:v>
                </c:pt>
                <c:pt idx="161">
                  <c:v>11.56875</c:v>
                </c:pt>
                <c:pt idx="162">
                  <c:v>12.18125</c:v>
                </c:pt>
                <c:pt idx="163">
                  <c:v>10.75</c:v>
                </c:pt>
                <c:pt idx="164">
                  <c:v>9.7750020000000006</c:v>
                </c:pt>
                <c:pt idx="165">
                  <c:v>7.3062509999999996</c:v>
                </c:pt>
                <c:pt idx="166">
                  <c:v>10.19375</c:v>
                </c:pt>
                <c:pt idx="167">
                  <c:v>12.331250000000001</c:v>
                </c:pt>
                <c:pt idx="168">
                  <c:v>12.78125</c:v>
                </c:pt>
                <c:pt idx="169">
                  <c:v>11.043749999999999</c:v>
                </c:pt>
                <c:pt idx="170">
                  <c:v>8.9937520000000006</c:v>
                </c:pt>
                <c:pt idx="171">
                  <c:v>11.5375</c:v>
                </c:pt>
                <c:pt idx="172">
                  <c:v>12.025</c:v>
                </c:pt>
                <c:pt idx="173">
                  <c:v>11.643750000000001</c:v>
                </c:pt>
                <c:pt idx="174">
                  <c:v>11.4125</c:v>
                </c:pt>
                <c:pt idx="175">
                  <c:v>12.481249999999999</c:v>
                </c:pt>
                <c:pt idx="176">
                  <c:v>11.987500000000001</c:v>
                </c:pt>
                <c:pt idx="177">
                  <c:v>13.275</c:v>
                </c:pt>
                <c:pt idx="178">
                  <c:v>10.4</c:v>
                </c:pt>
                <c:pt idx="179">
                  <c:v>8.2437520000000006</c:v>
                </c:pt>
                <c:pt idx="180">
                  <c:v>10.25</c:v>
                </c:pt>
                <c:pt idx="181">
                  <c:v>10.893750000000001</c:v>
                </c:pt>
                <c:pt idx="182">
                  <c:v>12</c:v>
                </c:pt>
                <c:pt idx="183">
                  <c:v>10.3375</c:v>
                </c:pt>
                <c:pt idx="184">
                  <c:v>13.05</c:v>
                </c:pt>
                <c:pt idx="185">
                  <c:v>12.81875</c:v>
                </c:pt>
                <c:pt idx="186">
                  <c:v>9.1812509999999996</c:v>
                </c:pt>
                <c:pt idx="187">
                  <c:v>7.75</c:v>
                </c:pt>
                <c:pt idx="188">
                  <c:v>6.737501</c:v>
                </c:pt>
                <c:pt idx="189">
                  <c:v>8.643751</c:v>
                </c:pt>
                <c:pt idx="190">
                  <c:v>6.8875000000000002</c:v>
                </c:pt>
                <c:pt idx="191">
                  <c:v>5.9375</c:v>
                </c:pt>
                <c:pt idx="192">
                  <c:v>7.831251</c:v>
                </c:pt>
                <c:pt idx="193">
                  <c:v>9.5250020000000006</c:v>
                </c:pt>
                <c:pt idx="194">
                  <c:v>12.762499999999999</c:v>
                </c:pt>
                <c:pt idx="195">
                  <c:v>9.5437510000000003</c:v>
                </c:pt>
                <c:pt idx="196">
                  <c:v>6.3250000000000002</c:v>
                </c:pt>
                <c:pt idx="197">
                  <c:v>10.612500000000001</c:v>
                </c:pt>
                <c:pt idx="198">
                  <c:v>10.106249999999999</c:v>
                </c:pt>
                <c:pt idx="199">
                  <c:v>10.375</c:v>
                </c:pt>
                <c:pt idx="200">
                  <c:v>11.706250000000001</c:v>
                </c:pt>
                <c:pt idx="201">
                  <c:v>14.375</c:v>
                </c:pt>
                <c:pt idx="202">
                  <c:v>13.0625</c:v>
                </c:pt>
                <c:pt idx="203">
                  <c:v>8.8812499999999996</c:v>
                </c:pt>
                <c:pt idx="204">
                  <c:v>9.1937510000000007</c:v>
                </c:pt>
                <c:pt idx="205">
                  <c:v>11.19375</c:v>
                </c:pt>
                <c:pt idx="206">
                  <c:v>9.1875020000000003</c:v>
                </c:pt>
                <c:pt idx="207">
                  <c:v>10.06875</c:v>
                </c:pt>
                <c:pt idx="208">
                  <c:v>11</c:v>
                </c:pt>
                <c:pt idx="209">
                  <c:v>10.21875</c:v>
                </c:pt>
                <c:pt idx="210">
                  <c:v>9.8562519999999996</c:v>
                </c:pt>
                <c:pt idx="211">
                  <c:v>10.9125</c:v>
                </c:pt>
                <c:pt idx="212">
                  <c:v>9.6000010000000007</c:v>
                </c:pt>
                <c:pt idx="213">
                  <c:v>8.7875010000000007</c:v>
                </c:pt>
                <c:pt idx="214">
                  <c:v>10.112500000000001</c:v>
                </c:pt>
                <c:pt idx="215">
                  <c:v>7.46875</c:v>
                </c:pt>
                <c:pt idx="216">
                  <c:v>8.3312500000000007</c:v>
                </c:pt>
                <c:pt idx="217">
                  <c:v>12.237500000000001</c:v>
                </c:pt>
                <c:pt idx="218">
                  <c:v>8.7937510000000003</c:v>
                </c:pt>
                <c:pt idx="219">
                  <c:v>7.3187499999999996</c:v>
                </c:pt>
                <c:pt idx="220">
                  <c:v>9.5500019999999992</c:v>
                </c:pt>
                <c:pt idx="221">
                  <c:v>11.05</c:v>
                </c:pt>
                <c:pt idx="222">
                  <c:v>13.9</c:v>
                </c:pt>
                <c:pt idx="223">
                  <c:v>9.4124999999999996</c:v>
                </c:pt>
                <c:pt idx="224">
                  <c:v>8.3687509999999996</c:v>
                </c:pt>
                <c:pt idx="225">
                  <c:v>7.5812499999999998</c:v>
                </c:pt>
                <c:pt idx="226">
                  <c:v>10.481249999999999</c:v>
                </c:pt>
                <c:pt idx="227">
                  <c:v>9.3312519999999992</c:v>
                </c:pt>
                <c:pt idx="228">
                  <c:v>10.5875</c:v>
                </c:pt>
                <c:pt idx="229">
                  <c:v>11.637499999999999</c:v>
                </c:pt>
                <c:pt idx="230">
                  <c:v>13.418749999999999</c:v>
                </c:pt>
                <c:pt idx="231">
                  <c:v>12.4375</c:v>
                </c:pt>
                <c:pt idx="232">
                  <c:v>10.856249999999999</c:v>
                </c:pt>
                <c:pt idx="233">
                  <c:v>10.8125</c:v>
                </c:pt>
                <c:pt idx="234">
                  <c:v>11.34375</c:v>
                </c:pt>
                <c:pt idx="235">
                  <c:v>12.0625</c:v>
                </c:pt>
                <c:pt idx="236">
                  <c:v>11.831250000000001</c:v>
                </c:pt>
                <c:pt idx="237">
                  <c:v>10.4125</c:v>
                </c:pt>
                <c:pt idx="238">
                  <c:v>7.987501</c:v>
                </c:pt>
                <c:pt idx="239">
                  <c:v>8.956251</c:v>
                </c:pt>
                <c:pt idx="240">
                  <c:v>9.3750009999999993</c:v>
                </c:pt>
                <c:pt idx="241">
                  <c:v>11.706250000000001</c:v>
                </c:pt>
                <c:pt idx="242">
                  <c:v>14.5875</c:v>
                </c:pt>
                <c:pt idx="243">
                  <c:v>12.175000000000001</c:v>
                </c:pt>
                <c:pt idx="244">
                  <c:v>12.55625</c:v>
                </c:pt>
                <c:pt idx="245">
                  <c:v>12.775</c:v>
                </c:pt>
                <c:pt idx="246">
                  <c:v>15.86875</c:v>
                </c:pt>
                <c:pt idx="247">
                  <c:v>20.149999999999999</c:v>
                </c:pt>
                <c:pt idx="248">
                  <c:v>13.40625</c:v>
                </c:pt>
                <c:pt idx="249">
                  <c:v>9.5750019999999996</c:v>
                </c:pt>
                <c:pt idx="250">
                  <c:v>10.24375</c:v>
                </c:pt>
                <c:pt idx="251">
                  <c:v>11.09375</c:v>
                </c:pt>
                <c:pt idx="252">
                  <c:v>11.231249999999999</c:v>
                </c:pt>
                <c:pt idx="253">
                  <c:v>12.9375</c:v>
                </c:pt>
                <c:pt idx="254">
                  <c:v>8.3312500000000007</c:v>
                </c:pt>
                <c:pt idx="255">
                  <c:v>8.5187500000000007</c:v>
                </c:pt>
                <c:pt idx="256">
                  <c:v>11.80625</c:v>
                </c:pt>
                <c:pt idx="257">
                  <c:v>12.46875</c:v>
                </c:pt>
                <c:pt idx="258">
                  <c:v>9.3500010000000007</c:v>
                </c:pt>
                <c:pt idx="259">
                  <c:v>12.768750000000001</c:v>
                </c:pt>
                <c:pt idx="260">
                  <c:v>11.86875</c:v>
                </c:pt>
                <c:pt idx="261">
                  <c:v>13.456250000000001</c:v>
                </c:pt>
                <c:pt idx="262">
                  <c:v>11.625</c:v>
                </c:pt>
                <c:pt idx="263">
                  <c:v>10.862500000000001</c:v>
                </c:pt>
                <c:pt idx="264">
                  <c:v>9.0312509999999993</c:v>
                </c:pt>
                <c:pt idx="265">
                  <c:v>9.050001</c:v>
                </c:pt>
                <c:pt idx="266">
                  <c:v>10.050000000000001</c:v>
                </c:pt>
                <c:pt idx="267">
                  <c:v>11.53125</c:v>
                </c:pt>
                <c:pt idx="268">
                  <c:v>12.775</c:v>
                </c:pt>
                <c:pt idx="269">
                  <c:v>12.975</c:v>
                </c:pt>
                <c:pt idx="270">
                  <c:v>16.7</c:v>
                </c:pt>
                <c:pt idx="271">
                  <c:v>20.5</c:v>
                </c:pt>
                <c:pt idx="272">
                  <c:v>16.824999999999999</c:v>
                </c:pt>
                <c:pt idx="273">
                  <c:v>26.068750000000001</c:v>
                </c:pt>
                <c:pt idx="274">
                  <c:v>23.85</c:v>
                </c:pt>
                <c:pt idx="275">
                  <c:v>18.393750000000001</c:v>
                </c:pt>
                <c:pt idx="276">
                  <c:v>23.256250000000001</c:v>
                </c:pt>
                <c:pt idx="277">
                  <c:v>14.775</c:v>
                </c:pt>
                <c:pt idx="278">
                  <c:v>13.24375</c:v>
                </c:pt>
                <c:pt idx="279">
                  <c:v>15.206250000000001</c:v>
                </c:pt>
                <c:pt idx="280">
                  <c:v>19.21875</c:v>
                </c:pt>
                <c:pt idx="281">
                  <c:v>15.78125</c:v>
                </c:pt>
                <c:pt idx="282">
                  <c:v>14.425000000000001</c:v>
                </c:pt>
                <c:pt idx="283">
                  <c:v>11.59375</c:v>
                </c:pt>
                <c:pt idx="284">
                  <c:v>12.40625</c:v>
                </c:pt>
                <c:pt idx="285">
                  <c:v>16.981249999999999</c:v>
                </c:pt>
                <c:pt idx="286">
                  <c:v>16.28125</c:v>
                </c:pt>
                <c:pt idx="287">
                  <c:v>14.487500000000001</c:v>
                </c:pt>
                <c:pt idx="288">
                  <c:v>16.587499999999999</c:v>
                </c:pt>
                <c:pt idx="289">
                  <c:v>12.918749999999999</c:v>
                </c:pt>
                <c:pt idx="290">
                  <c:v>15.143750000000001</c:v>
                </c:pt>
                <c:pt idx="291">
                  <c:v>13.1625</c:v>
                </c:pt>
                <c:pt idx="292">
                  <c:v>15.1</c:v>
                </c:pt>
                <c:pt idx="293">
                  <c:v>15.918749999999999</c:v>
                </c:pt>
                <c:pt idx="294">
                  <c:v>13.6875</c:v>
                </c:pt>
                <c:pt idx="295">
                  <c:v>16.725000000000001</c:v>
                </c:pt>
                <c:pt idx="296">
                  <c:v>21.668749999999999</c:v>
                </c:pt>
                <c:pt idx="297">
                  <c:v>20.662500000000001</c:v>
                </c:pt>
                <c:pt idx="298">
                  <c:v>12.6625</c:v>
                </c:pt>
                <c:pt idx="299">
                  <c:v>13.581250000000001</c:v>
                </c:pt>
                <c:pt idx="300">
                  <c:v>15</c:v>
                </c:pt>
                <c:pt idx="301">
                  <c:v>16.100000000000001</c:v>
                </c:pt>
                <c:pt idx="302">
                  <c:v>15.331250000000001</c:v>
                </c:pt>
                <c:pt idx="303">
                  <c:v>16.15625</c:v>
                </c:pt>
                <c:pt idx="304">
                  <c:v>20.931249999999999</c:v>
                </c:pt>
                <c:pt idx="305">
                  <c:v>17.625</c:v>
                </c:pt>
                <c:pt idx="306">
                  <c:v>15.518750000000001</c:v>
                </c:pt>
                <c:pt idx="307">
                  <c:v>17.78125</c:v>
                </c:pt>
                <c:pt idx="308">
                  <c:v>21.006250000000001</c:v>
                </c:pt>
                <c:pt idx="309">
                  <c:v>24.925000000000001</c:v>
                </c:pt>
                <c:pt idx="310">
                  <c:v>22.8</c:v>
                </c:pt>
                <c:pt idx="311">
                  <c:v>18.5</c:v>
                </c:pt>
                <c:pt idx="312">
                  <c:v>18.462499999999999</c:v>
                </c:pt>
                <c:pt idx="313">
                  <c:v>17.931249999999999</c:v>
                </c:pt>
                <c:pt idx="314">
                  <c:v>15.34375</c:v>
                </c:pt>
                <c:pt idx="315">
                  <c:v>10.1625</c:v>
                </c:pt>
                <c:pt idx="316">
                  <c:v>13.0625</c:v>
                </c:pt>
                <c:pt idx="317">
                  <c:v>15.55</c:v>
                </c:pt>
                <c:pt idx="318">
                  <c:v>16.162500000000001</c:v>
                </c:pt>
                <c:pt idx="319">
                  <c:v>17.45</c:v>
                </c:pt>
                <c:pt idx="320">
                  <c:v>21.518750000000001</c:v>
                </c:pt>
                <c:pt idx="321">
                  <c:v>22.587499999999999</c:v>
                </c:pt>
                <c:pt idx="322">
                  <c:v>23.206250000000001</c:v>
                </c:pt>
                <c:pt idx="323">
                  <c:v>25.59375</c:v>
                </c:pt>
                <c:pt idx="324">
                  <c:v>25.762499999999999</c:v>
                </c:pt>
                <c:pt idx="325">
                  <c:v>19.75</c:v>
                </c:pt>
                <c:pt idx="326">
                  <c:v>17.118749999999999</c:v>
                </c:pt>
                <c:pt idx="327">
                  <c:v>21.9</c:v>
                </c:pt>
                <c:pt idx="328">
                  <c:v>24.45</c:v>
                </c:pt>
                <c:pt idx="329">
                  <c:v>22.331250000000001</c:v>
                </c:pt>
                <c:pt idx="330">
                  <c:v>25.056249999999999</c:v>
                </c:pt>
                <c:pt idx="331">
                  <c:v>24.181249999999999</c:v>
                </c:pt>
                <c:pt idx="332">
                  <c:v>26.6</c:v>
                </c:pt>
                <c:pt idx="333">
                  <c:v>31.737500000000001</c:v>
                </c:pt>
                <c:pt idx="334">
                  <c:v>29.53125</c:v>
                </c:pt>
                <c:pt idx="335">
                  <c:v>18.331250000000001</c:v>
                </c:pt>
                <c:pt idx="336">
                  <c:v>17.581250000000001</c:v>
                </c:pt>
                <c:pt idx="337">
                  <c:v>20.193750000000001</c:v>
                </c:pt>
                <c:pt idx="338">
                  <c:v>20.90625</c:v>
                </c:pt>
                <c:pt idx="339">
                  <c:v>20.387499999999999</c:v>
                </c:pt>
                <c:pt idx="340">
                  <c:v>14.525</c:v>
                </c:pt>
                <c:pt idx="341">
                  <c:v>18.018750000000001</c:v>
                </c:pt>
                <c:pt idx="342">
                  <c:v>21.637499999999999</c:v>
                </c:pt>
                <c:pt idx="343">
                  <c:v>25.725000000000001</c:v>
                </c:pt>
                <c:pt idx="344">
                  <c:v>20.518750000000001</c:v>
                </c:pt>
                <c:pt idx="345">
                  <c:v>20.556249999999999</c:v>
                </c:pt>
                <c:pt idx="346">
                  <c:v>22.59375</c:v>
                </c:pt>
                <c:pt idx="347">
                  <c:v>27.556249999999999</c:v>
                </c:pt>
                <c:pt idx="348">
                  <c:v>23.418749999999999</c:v>
                </c:pt>
                <c:pt idx="349">
                  <c:v>19.5</c:v>
                </c:pt>
                <c:pt idx="350">
                  <c:v>24.09375</c:v>
                </c:pt>
                <c:pt idx="351">
                  <c:v>24.9375</c:v>
                </c:pt>
                <c:pt idx="352">
                  <c:v>25.693750000000001</c:v>
                </c:pt>
                <c:pt idx="353">
                  <c:v>21.024999999999999</c:v>
                </c:pt>
                <c:pt idx="354">
                  <c:v>19.106249999999999</c:v>
                </c:pt>
                <c:pt idx="355">
                  <c:v>23.787500000000001</c:v>
                </c:pt>
                <c:pt idx="356">
                  <c:v>29.787500000000001</c:v>
                </c:pt>
                <c:pt idx="357">
                  <c:v>28.512499999999999</c:v>
                </c:pt>
                <c:pt idx="358">
                  <c:v>19.618749999999999</c:v>
                </c:pt>
                <c:pt idx="359">
                  <c:v>16.45</c:v>
                </c:pt>
                <c:pt idx="360">
                  <c:v>15.612500000000001</c:v>
                </c:pt>
                <c:pt idx="361">
                  <c:v>15.725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14-445A-BADA-CF129F938F0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TempTrain!$H$9:$H$370</c:f>
              <c:numCache>
                <c:formatCode>General</c:formatCode>
                <c:ptCount val="362"/>
                <c:pt idx="0">
                  <c:v>18.488100914865637</c:v>
                </c:pt>
                <c:pt idx="1">
                  <c:v>19.966256097535663</c:v>
                </c:pt>
                <c:pt idx="2">
                  <c:v>19.692958172670536</c:v>
                </c:pt>
                <c:pt idx="3">
                  <c:v>22.280487311123331</c:v>
                </c:pt>
                <c:pt idx="4">
                  <c:v>24.080980142412812</c:v>
                </c:pt>
                <c:pt idx="5">
                  <c:v>26.826366630351817</c:v>
                </c:pt>
                <c:pt idx="6">
                  <c:v>29.109090073613544</c:v>
                </c:pt>
                <c:pt idx="7">
                  <c:v>25.292465856235751</c:v>
                </c:pt>
                <c:pt idx="8">
                  <c:v>21.865668948062474</c:v>
                </c:pt>
                <c:pt idx="9">
                  <c:v>21.778420155123456</c:v>
                </c:pt>
                <c:pt idx="10">
                  <c:v>20.003172369950832</c:v>
                </c:pt>
                <c:pt idx="11">
                  <c:v>22.575949321833253</c:v>
                </c:pt>
                <c:pt idx="12">
                  <c:v>25.13474307700724</c:v>
                </c:pt>
                <c:pt idx="13">
                  <c:v>26.925784663785656</c:v>
                </c:pt>
                <c:pt idx="14">
                  <c:v>25.941631572623468</c:v>
                </c:pt>
                <c:pt idx="15">
                  <c:v>20.675965256120534</c:v>
                </c:pt>
                <c:pt idx="16">
                  <c:v>25.601309253961563</c:v>
                </c:pt>
                <c:pt idx="17">
                  <c:v>22.977014192793263</c:v>
                </c:pt>
                <c:pt idx="18">
                  <c:v>21.562150911038639</c:v>
                </c:pt>
                <c:pt idx="19">
                  <c:v>23.299951708648543</c:v>
                </c:pt>
                <c:pt idx="20">
                  <c:v>28.157832221790553</c:v>
                </c:pt>
                <c:pt idx="21">
                  <c:v>20.520591422475288</c:v>
                </c:pt>
                <c:pt idx="22">
                  <c:v>22.948780368120161</c:v>
                </c:pt>
                <c:pt idx="23">
                  <c:v>23.375052826050915</c:v>
                </c:pt>
                <c:pt idx="24">
                  <c:v>23.584118397940838</c:v>
                </c:pt>
                <c:pt idx="25">
                  <c:v>24.085244394187985</c:v>
                </c:pt>
                <c:pt idx="26">
                  <c:v>27.838184583230603</c:v>
                </c:pt>
                <c:pt idx="27">
                  <c:v>26.48177856580082</c:v>
                </c:pt>
                <c:pt idx="28">
                  <c:v>25.942317399116977</c:v>
                </c:pt>
                <c:pt idx="29">
                  <c:v>22.489487971014729</c:v>
                </c:pt>
                <c:pt idx="30">
                  <c:v>25.318788624017262</c:v>
                </c:pt>
                <c:pt idx="31">
                  <c:v>26.298141654344803</c:v>
                </c:pt>
                <c:pt idx="32">
                  <c:v>26.398585185863816</c:v>
                </c:pt>
                <c:pt idx="33">
                  <c:v>29.742858168976131</c:v>
                </c:pt>
                <c:pt idx="34">
                  <c:v>30.475975379448347</c:v>
                </c:pt>
                <c:pt idx="35">
                  <c:v>28.438630883181876</c:v>
                </c:pt>
                <c:pt idx="36">
                  <c:v>31.602003122923982</c:v>
                </c:pt>
                <c:pt idx="37">
                  <c:v>30.315122072920154</c:v>
                </c:pt>
                <c:pt idx="38">
                  <c:v>25.559667702508317</c:v>
                </c:pt>
                <c:pt idx="39">
                  <c:v>26.483670859655199</c:v>
                </c:pt>
                <c:pt idx="40">
                  <c:v>26.759139783435291</c:v>
                </c:pt>
                <c:pt idx="41">
                  <c:v>25.130137489452942</c:v>
                </c:pt>
                <c:pt idx="42">
                  <c:v>28.255737807207964</c:v>
                </c:pt>
                <c:pt idx="43">
                  <c:v>22.677243503405233</c:v>
                </c:pt>
                <c:pt idx="44">
                  <c:v>19.926231280208906</c:v>
                </c:pt>
                <c:pt idx="45">
                  <c:v>21.18057489844157</c:v>
                </c:pt>
                <c:pt idx="46">
                  <c:v>24.734443300729072</c:v>
                </c:pt>
                <c:pt idx="47">
                  <c:v>19.183869984591396</c:v>
                </c:pt>
                <c:pt idx="48">
                  <c:v>19.746980500480266</c:v>
                </c:pt>
                <c:pt idx="49">
                  <c:v>20.930369324764076</c:v>
                </c:pt>
                <c:pt idx="50">
                  <c:v>22.655784857660564</c:v>
                </c:pt>
                <c:pt idx="51">
                  <c:v>20.742434421118119</c:v>
                </c:pt>
                <c:pt idx="52">
                  <c:v>22.623448006646075</c:v>
                </c:pt>
                <c:pt idx="53">
                  <c:v>24.253907023094865</c:v>
                </c:pt>
                <c:pt idx="54">
                  <c:v>23.797464919386492</c:v>
                </c:pt>
                <c:pt idx="55">
                  <c:v>22.721878773196153</c:v>
                </c:pt>
                <c:pt idx="56">
                  <c:v>20.779232501585632</c:v>
                </c:pt>
                <c:pt idx="57">
                  <c:v>23.892056514589118</c:v>
                </c:pt>
                <c:pt idx="58">
                  <c:v>23.116656177752269</c:v>
                </c:pt>
                <c:pt idx="59">
                  <c:v>24.052054569625131</c:v>
                </c:pt>
                <c:pt idx="60">
                  <c:v>25.531928368209833</c:v>
                </c:pt>
                <c:pt idx="61">
                  <c:v>21.10749773536353</c:v>
                </c:pt>
                <c:pt idx="62">
                  <c:v>18.528407353157704</c:v>
                </c:pt>
                <c:pt idx="63">
                  <c:v>20.735412671194315</c:v>
                </c:pt>
                <c:pt idx="64">
                  <c:v>21.20641990387978</c:v>
                </c:pt>
                <c:pt idx="65">
                  <c:v>19.241195402657482</c:v>
                </c:pt>
                <c:pt idx="66">
                  <c:v>21.587446278199749</c:v>
                </c:pt>
                <c:pt idx="67">
                  <c:v>16.55296539755992</c:v>
                </c:pt>
                <c:pt idx="68">
                  <c:v>17.634931381285643</c:v>
                </c:pt>
                <c:pt idx="69">
                  <c:v>19.965494225493988</c:v>
                </c:pt>
                <c:pt idx="70">
                  <c:v>18.487541548909356</c:v>
                </c:pt>
                <c:pt idx="71">
                  <c:v>21.573476089865146</c:v>
                </c:pt>
                <c:pt idx="72">
                  <c:v>21.172459453269834</c:v>
                </c:pt>
                <c:pt idx="73">
                  <c:v>23.158010857538681</c:v>
                </c:pt>
                <c:pt idx="74">
                  <c:v>24.244709631491624</c:v>
                </c:pt>
                <c:pt idx="75">
                  <c:v>19.353896461218614</c:v>
                </c:pt>
                <c:pt idx="76">
                  <c:v>17.573412761913065</c:v>
                </c:pt>
                <c:pt idx="77">
                  <c:v>16.859187549674491</c:v>
                </c:pt>
                <c:pt idx="78">
                  <c:v>19.403753688281245</c:v>
                </c:pt>
                <c:pt idx="79">
                  <c:v>18.591212885934294</c:v>
                </c:pt>
                <c:pt idx="80">
                  <c:v>19.220946316973034</c:v>
                </c:pt>
                <c:pt idx="81">
                  <c:v>19.21229836856411</c:v>
                </c:pt>
                <c:pt idx="82">
                  <c:v>21.083797262364147</c:v>
                </c:pt>
                <c:pt idx="83">
                  <c:v>22.095051926157545</c:v>
                </c:pt>
                <c:pt idx="84">
                  <c:v>17.760833865470143</c:v>
                </c:pt>
                <c:pt idx="85">
                  <c:v>14.5695096601599</c:v>
                </c:pt>
                <c:pt idx="86">
                  <c:v>15.421440335985526</c:v>
                </c:pt>
                <c:pt idx="87">
                  <c:v>15.805318236154104</c:v>
                </c:pt>
                <c:pt idx="88">
                  <c:v>17.89680201784876</c:v>
                </c:pt>
                <c:pt idx="89">
                  <c:v>17.936417898737311</c:v>
                </c:pt>
                <c:pt idx="90">
                  <c:v>15.404390278463056</c:v>
                </c:pt>
                <c:pt idx="91">
                  <c:v>16.308934235118638</c:v>
                </c:pt>
                <c:pt idx="92">
                  <c:v>18.261829271704098</c:v>
                </c:pt>
                <c:pt idx="93">
                  <c:v>18.723204937570106</c:v>
                </c:pt>
                <c:pt idx="94">
                  <c:v>19.833933324847514</c:v>
                </c:pt>
                <c:pt idx="95">
                  <c:v>16.309730939864142</c:v>
                </c:pt>
                <c:pt idx="96">
                  <c:v>18.047191824550072</c:v>
                </c:pt>
                <c:pt idx="97">
                  <c:v>15.824487552832267</c:v>
                </c:pt>
                <c:pt idx="98">
                  <c:v>17.343543477019786</c:v>
                </c:pt>
                <c:pt idx="99">
                  <c:v>17.091071224180585</c:v>
                </c:pt>
                <c:pt idx="100">
                  <c:v>17.207039317510937</c:v>
                </c:pt>
                <c:pt idx="101">
                  <c:v>19.305881013698624</c:v>
                </c:pt>
                <c:pt idx="102">
                  <c:v>18.923293137280979</c:v>
                </c:pt>
                <c:pt idx="103">
                  <c:v>20.056020107998705</c:v>
                </c:pt>
                <c:pt idx="104">
                  <c:v>20.208207402146869</c:v>
                </c:pt>
                <c:pt idx="105">
                  <c:v>20.441250558923699</c:v>
                </c:pt>
                <c:pt idx="106">
                  <c:v>19.500387940778783</c:v>
                </c:pt>
                <c:pt idx="107">
                  <c:v>17.411101866761275</c:v>
                </c:pt>
                <c:pt idx="108">
                  <c:v>20.461796522869555</c:v>
                </c:pt>
                <c:pt idx="109">
                  <c:v>15.719022958403173</c:v>
                </c:pt>
                <c:pt idx="110">
                  <c:v>15.446583457318328</c:v>
                </c:pt>
                <c:pt idx="111">
                  <c:v>15.693872784587841</c:v>
                </c:pt>
                <c:pt idx="112">
                  <c:v>14.28617880756682</c:v>
                </c:pt>
                <c:pt idx="113">
                  <c:v>14.265751867364934</c:v>
                </c:pt>
                <c:pt idx="114">
                  <c:v>15.383362275226563</c:v>
                </c:pt>
                <c:pt idx="115">
                  <c:v>12.987308433919713</c:v>
                </c:pt>
                <c:pt idx="116">
                  <c:v>14.293086209134918</c:v>
                </c:pt>
                <c:pt idx="117">
                  <c:v>16.078627050895079</c:v>
                </c:pt>
                <c:pt idx="118">
                  <c:v>15.508832364977398</c:v>
                </c:pt>
                <c:pt idx="119">
                  <c:v>13.797034134348356</c:v>
                </c:pt>
                <c:pt idx="120">
                  <c:v>12.326825540612951</c:v>
                </c:pt>
                <c:pt idx="121">
                  <c:v>13.609240960479077</c:v>
                </c:pt>
                <c:pt idx="122">
                  <c:v>13.753723462238202</c:v>
                </c:pt>
                <c:pt idx="123">
                  <c:v>10.681676677263368</c:v>
                </c:pt>
                <c:pt idx="124">
                  <c:v>11.388880643125498</c:v>
                </c:pt>
                <c:pt idx="125">
                  <c:v>11.253603093029133</c:v>
                </c:pt>
                <c:pt idx="126">
                  <c:v>11.035739307468544</c:v>
                </c:pt>
                <c:pt idx="127">
                  <c:v>13.494960815505262</c:v>
                </c:pt>
                <c:pt idx="128">
                  <c:v>14.021439820068114</c:v>
                </c:pt>
                <c:pt idx="129">
                  <c:v>14.162771252476585</c:v>
                </c:pt>
                <c:pt idx="130">
                  <c:v>14.38832333618878</c:v>
                </c:pt>
                <c:pt idx="131">
                  <c:v>16.051845666374696</c:v>
                </c:pt>
                <c:pt idx="132">
                  <c:v>11.993136787916011</c:v>
                </c:pt>
                <c:pt idx="133">
                  <c:v>13.177728899933248</c:v>
                </c:pt>
                <c:pt idx="134">
                  <c:v>12.664159727541277</c:v>
                </c:pt>
                <c:pt idx="135">
                  <c:v>12.295737518634242</c:v>
                </c:pt>
                <c:pt idx="136">
                  <c:v>12.547048540700697</c:v>
                </c:pt>
                <c:pt idx="137">
                  <c:v>12.202842702670001</c:v>
                </c:pt>
                <c:pt idx="138">
                  <c:v>10.880576051790934</c:v>
                </c:pt>
                <c:pt idx="139">
                  <c:v>10.509740770543289</c:v>
                </c:pt>
                <c:pt idx="140">
                  <c:v>10.000008116783603</c:v>
                </c:pt>
                <c:pt idx="141">
                  <c:v>10.412509534925716</c:v>
                </c:pt>
                <c:pt idx="142">
                  <c:v>9.9549035986571628</c:v>
                </c:pt>
                <c:pt idx="143">
                  <c:v>9.4231544057922765</c:v>
                </c:pt>
                <c:pt idx="144">
                  <c:v>10.308499322962804</c:v>
                </c:pt>
                <c:pt idx="145">
                  <c:v>10.168399888047034</c:v>
                </c:pt>
                <c:pt idx="146">
                  <c:v>11.162546684038105</c:v>
                </c:pt>
                <c:pt idx="147">
                  <c:v>10.89796898615252</c:v>
                </c:pt>
                <c:pt idx="148">
                  <c:v>11.410440551779546</c:v>
                </c:pt>
                <c:pt idx="149">
                  <c:v>10.867902866672388</c:v>
                </c:pt>
                <c:pt idx="150">
                  <c:v>12.093531511281952</c:v>
                </c:pt>
                <c:pt idx="151">
                  <c:v>12.091775188233919</c:v>
                </c:pt>
                <c:pt idx="152">
                  <c:v>9.3127618236499785</c:v>
                </c:pt>
                <c:pt idx="153">
                  <c:v>10.388067132813957</c:v>
                </c:pt>
                <c:pt idx="154">
                  <c:v>9.244075328483552</c:v>
                </c:pt>
                <c:pt idx="155">
                  <c:v>8.730038567248501</c:v>
                </c:pt>
                <c:pt idx="156">
                  <c:v>8.8946088213358365</c:v>
                </c:pt>
                <c:pt idx="157">
                  <c:v>8.7647079678629183</c:v>
                </c:pt>
                <c:pt idx="158">
                  <c:v>11.67942446263906</c:v>
                </c:pt>
                <c:pt idx="159">
                  <c:v>7.5173990837162439</c:v>
                </c:pt>
                <c:pt idx="160">
                  <c:v>9.3285243358897905</c:v>
                </c:pt>
                <c:pt idx="161">
                  <c:v>12.561506182349468</c:v>
                </c:pt>
                <c:pt idx="162">
                  <c:v>10.308397631481794</c:v>
                </c:pt>
                <c:pt idx="163">
                  <c:v>11.773346036024074</c:v>
                </c:pt>
                <c:pt idx="164">
                  <c:v>10.204934819970832</c:v>
                </c:pt>
                <c:pt idx="165">
                  <c:v>9.907114544833199</c:v>
                </c:pt>
                <c:pt idx="166">
                  <c:v>7.9003933969518538</c:v>
                </c:pt>
                <c:pt idx="167">
                  <c:v>10.974606813164055</c:v>
                </c:pt>
                <c:pt idx="168">
                  <c:v>11.478518512625296</c:v>
                </c:pt>
                <c:pt idx="169">
                  <c:v>11.577505268586165</c:v>
                </c:pt>
                <c:pt idx="170">
                  <c:v>10.256806110524877</c:v>
                </c:pt>
                <c:pt idx="171">
                  <c:v>9.1271840820359458</c:v>
                </c:pt>
                <c:pt idx="172">
                  <c:v>11.667907265875568</c:v>
                </c:pt>
                <c:pt idx="173">
                  <c:v>10.949600942564057</c:v>
                </c:pt>
                <c:pt idx="174">
                  <c:v>10.827060906945874</c:v>
                </c:pt>
                <c:pt idx="175">
                  <c:v>10.810370643807635</c:v>
                </c:pt>
                <c:pt idx="176">
                  <c:v>11.719904754354493</c:v>
                </c:pt>
                <c:pt idx="177">
                  <c:v>10.912309182345339</c:v>
                </c:pt>
                <c:pt idx="178">
                  <c:v>12.304425295687111</c:v>
                </c:pt>
                <c:pt idx="179">
                  <c:v>9.3737261352886705</c:v>
                </c:pt>
                <c:pt idx="180">
                  <c:v>8.6473656071745193</c:v>
                </c:pt>
                <c:pt idx="181">
                  <c:v>10.607021249058663</c:v>
                </c:pt>
                <c:pt idx="182">
                  <c:v>10.183978410579019</c:v>
                </c:pt>
                <c:pt idx="183">
                  <c:v>11.198279820392521</c:v>
                </c:pt>
                <c:pt idx="184">
                  <c:v>9.5218733873313361</c:v>
                </c:pt>
                <c:pt idx="185">
                  <c:v>12.505554377420289</c:v>
                </c:pt>
                <c:pt idx="186">
                  <c:v>11.190185015555876</c:v>
                </c:pt>
                <c:pt idx="187">
                  <c:v>8.5750406642469663</c:v>
                </c:pt>
                <c:pt idx="188">
                  <c:v>8.4907171443174452</c:v>
                </c:pt>
                <c:pt idx="189">
                  <c:v>7.5564230465709681</c:v>
                </c:pt>
                <c:pt idx="190">
                  <c:v>9.2818929957179552</c:v>
                </c:pt>
                <c:pt idx="191">
                  <c:v>7.0325397128650309</c:v>
                </c:pt>
                <c:pt idx="192">
                  <c:v>7.0674660411669326</c:v>
                </c:pt>
                <c:pt idx="193">
                  <c:v>8.7169708408411086</c:v>
                </c:pt>
                <c:pt idx="194">
                  <c:v>9.4036734722449626</c:v>
                </c:pt>
                <c:pt idx="195">
                  <c:v>11.877640169015951</c:v>
                </c:pt>
                <c:pt idx="196">
                  <c:v>8.3621644423744286</c:v>
                </c:pt>
                <c:pt idx="197">
                  <c:v>7.1434627252894209</c:v>
                </c:pt>
                <c:pt idx="198">
                  <c:v>11.337011604007209</c:v>
                </c:pt>
                <c:pt idx="199">
                  <c:v>9.0656317686427847</c:v>
                </c:pt>
                <c:pt idx="200">
                  <c:v>10.085100120634173</c:v>
                </c:pt>
                <c:pt idx="201">
                  <c:v>11.055884944659461</c:v>
                </c:pt>
                <c:pt idx="202">
                  <c:v>12.932193210116631</c:v>
                </c:pt>
                <c:pt idx="203">
                  <c:v>11.164981050365967</c:v>
                </c:pt>
                <c:pt idx="204">
                  <c:v>8.4419900131350225</c:v>
                </c:pt>
                <c:pt idx="205">
                  <c:v>9.8624635325860126</c:v>
                </c:pt>
                <c:pt idx="206">
                  <c:v>10.85200800114546</c:v>
                </c:pt>
                <c:pt idx="207">
                  <c:v>8.5659234288959638</c:v>
                </c:pt>
                <c:pt idx="208">
                  <c:v>10.256440683329938</c:v>
                </c:pt>
                <c:pt idx="209">
                  <c:v>10.478655197265077</c:v>
                </c:pt>
                <c:pt idx="210">
                  <c:v>9.6575901265213417</c:v>
                </c:pt>
                <c:pt idx="211">
                  <c:v>9.7482368971593214</c:v>
                </c:pt>
                <c:pt idx="212">
                  <c:v>10.656193130679563</c:v>
                </c:pt>
                <c:pt idx="213">
                  <c:v>9.1656416501827831</c:v>
                </c:pt>
                <c:pt idx="214">
                  <c:v>9.0660073000905097</c:v>
                </c:pt>
                <c:pt idx="215">
                  <c:v>10.270234161126005</c:v>
                </c:pt>
                <c:pt idx="216">
                  <c:v>7.5027461663550126</c:v>
                </c:pt>
                <c:pt idx="217">
                  <c:v>9.2893857022860775</c:v>
                </c:pt>
                <c:pt idx="218">
                  <c:v>11.949240807830078</c:v>
                </c:pt>
                <c:pt idx="219">
                  <c:v>7.923380037318533</c:v>
                </c:pt>
                <c:pt idx="220">
                  <c:v>8.3667538132803827</c:v>
                </c:pt>
                <c:pt idx="221">
                  <c:v>10.243279940576752</c:v>
                </c:pt>
                <c:pt idx="222">
                  <c:v>10.60041084699334</c:v>
                </c:pt>
                <c:pt idx="223">
                  <c:v>12.877090416989942</c:v>
                </c:pt>
                <c:pt idx="224">
                  <c:v>8.4026952752066713</c:v>
                </c:pt>
                <c:pt idx="225">
                  <c:v>9.3947801129264068</c:v>
                </c:pt>
                <c:pt idx="226">
                  <c:v>8.4280076677929525</c:v>
                </c:pt>
                <c:pt idx="227">
                  <c:v>11.004643543584425</c:v>
                </c:pt>
                <c:pt idx="228">
                  <c:v>9.0080177095413276</c:v>
                </c:pt>
                <c:pt idx="229">
                  <c:v>10.886701795848763</c:v>
                </c:pt>
                <c:pt idx="230">
                  <c:v>11.227985615672267</c:v>
                </c:pt>
                <c:pt idx="231">
                  <c:v>12.606632161346612</c:v>
                </c:pt>
                <c:pt idx="232">
                  <c:v>11.382484637317109</c:v>
                </c:pt>
                <c:pt idx="233">
                  <c:v>10.643722390032638</c:v>
                </c:pt>
                <c:pt idx="234">
                  <c:v>10.99599488748998</c:v>
                </c:pt>
                <c:pt idx="235">
                  <c:v>11.254887054228652</c:v>
                </c:pt>
                <c:pt idx="236">
                  <c:v>11.713296148575676</c:v>
                </c:pt>
                <c:pt idx="237">
                  <c:v>11.391856764939625</c:v>
                </c:pt>
                <c:pt idx="238">
                  <c:v>10.397675836153182</c:v>
                </c:pt>
                <c:pt idx="239">
                  <c:v>8.7941697324636596</c:v>
                </c:pt>
                <c:pt idx="240">
                  <c:v>10.213542431870627</c:v>
                </c:pt>
                <c:pt idx="241">
                  <c:v>9.9324089061099698</c:v>
                </c:pt>
                <c:pt idx="242">
                  <c:v>11.943112131583781</c:v>
                </c:pt>
                <c:pt idx="243">
                  <c:v>13.726247305035024</c:v>
                </c:pt>
                <c:pt idx="244">
                  <c:v>11.131210057566573</c:v>
                </c:pt>
                <c:pt idx="245">
                  <c:v>12.679898748403589</c:v>
                </c:pt>
                <c:pt idx="246">
                  <c:v>12.422109586598504</c:v>
                </c:pt>
                <c:pt idx="247">
                  <c:v>15.059033788877937</c:v>
                </c:pt>
                <c:pt idx="248">
                  <c:v>17.755989936330511</c:v>
                </c:pt>
                <c:pt idx="249">
                  <c:v>11.158825852234965</c:v>
                </c:pt>
                <c:pt idx="250">
                  <c:v>10.737025923127558</c:v>
                </c:pt>
                <c:pt idx="251">
                  <c:v>11.580549494307965</c:v>
                </c:pt>
                <c:pt idx="252">
                  <c:v>11.56029755398292</c:v>
                </c:pt>
                <c:pt idx="253">
                  <c:v>11.536563554246472</c:v>
                </c:pt>
                <c:pt idx="254">
                  <c:v>13.096301216096276</c:v>
                </c:pt>
                <c:pt idx="255">
                  <c:v>8.7050598352848052</c:v>
                </c:pt>
                <c:pt idx="256">
                  <c:v>10.626187637804623</c:v>
                </c:pt>
                <c:pt idx="257">
                  <c:v>12.712520240806954</c:v>
                </c:pt>
                <c:pt idx="258">
                  <c:v>12.283070655752331</c:v>
                </c:pt>
                <c:pt idx="259">
                  <c:v>9.9474982631927382</c:v>
                </c:pt>
                <c:pt idx="260">
                  <c:v>13.97602988728401</c:v>
                </c:pt>
                <c:pt idx="261">
                  <c:v>11.69960563962767</c:v>
                </c:pt>
                <c:pt idx="262">
                  <c:v>13.869552144041325</c:v>
                </c:pt>
                <c:pt idx="263">
                  <c:v>11.716765190856384</c:v>
                </c:pt>
                <c:pt idx="264">
                  <c:v>11.92887832914248</c:v>
                </c:pt>
                <c:pt idx="265">
                  <c:v>10.394229142857295</c:v>
                </c:pt>
                <c:pt idx="266">
                  <c:v>10.924937901020947</c:v>
                </c:pt>
                <c:pt idx="267">
                  <c:v>11.537178223013992</c:v>
                </c:pt>
                <c:pt idx="268">
                  <c:v>12.512677394097816</c:v>
                </c:pt>
                <c:pt idx="269">
                  <c:v>13.276354116356709</c:v>
                </c:pt>
                <c:pt idx="270">
                  <c:v>13.303079127060325</c:v>
                </c:pt>
                <c:pt idx="271">
                  <c:v>16.614299217245609</c:v>
                </c:pt>
                <c:pt idx="272">
                  <c:v>18.706241265317299</c:v>
                </c:pt>
                <c:pt idx="273">
                  <c:v>14.960972719465619</c:v>
                </c:pt>
                <c:pt idx="274">
                  <c:v>24.561070351200541</c:v>
                </c:pt>
                <c:pt idx="275">
                  <c:v>19.222025258901247</c:v>
                </c:pt>
                <c:pt idx="276">
                  <c:v>16.705704121379821</c:v>
                </c:pt>
                <c:pt idx="277">
                  <c:v>22.288957951458311</c:v>
                </c:pt>
                <c:pt idx="278">
                  <c:v>12.793285224557708</c:v>
                </c:pt>
                <c:pt idx="279">
                  <c:v>14.968494382298221</c:v>
                </c:pt>
                <c:pt idx="280">
                  <c:v>15.923215086109442</c:v>
                </c:pt>
                <c:pt idx="281">
                  <c:v>18.508492595849461</c:v>
                </c:pt>
                <c:pt idx="282">
                  <c:v>14.63966714843195</c:v>
                </c:pt>
                <c:pt idx="283">
                  <c:v>15.22160083645991</c:v>
                </c:pt>
                <c:pt idx="284">
                  <c:v>12.798938236865261</c:v>
                </c:pt>
                <c:pt idx="285">
                  <c:v>14.238205789553014</c:v>
                </c:pt>
                <c:pt idx="286">
                  <c:v>17.478773676048977</c:v>
                </c:pt>
                <c:pt idx="287">
                  <c:v>15.579248323150077</c:v>
                </c:pt>
                <c:pt idx="288">
                  <c:v>14.995139281575861</c:v>
                </c:pt>
                <c:pt idx="289">
                  <c:v>17.287546104620578</c:v>
                </c:pt>
                <c:pt idx="290">
                  <c:v>13.287573351804276</c:v>
                </c:pt>
                <c:pt idx="291">
                  <c:v>16.696118717522182</c:v>
                </c:pt>
                <c:pt idx="292">
                  <c:v>13.810654909691117</c:v>
                </c:pt>
                <c:pt idx="293">
                  <c:v>16.452755903391886</c:v>
                </c:pt>
                <c:pt idx="294">
                  <c:v>16.276364444506616</c:v>
                </c:pt>
                <c:pt idx="295">
                  <c:v>14.449060803349951</c:v>
                </c:pt>
                <c:pt idx="296">
                  <c:v>17.896859653292868</c:v>
                </c:pt>
                <c:pt idx="297">
                  <c:v>20.823077574378424</c:v>
                </c:pt>
                <c:pt idx="298">
                  <c:v>18.870324306927841</c:v>
                </c:pt>
                <c:pt idx="299">
                  <c:v>13.183187130136371</c:v>
                </c:pt>
                <c:pt idx="300">
                  <c:v>16.420108990657511</c:v>
                </c:pt>
                <c:pt idx="301">
                  <c:v>16.198133506174631</c:v>
                </c:pt>
                <c:pt idx="302">
                  <c:v>16.848804343959102</c:v>
                </c:pt>
                <c:pt idx="303">
                  <c:v>16.092473349413481</c:v>
                </c:pt>
                <c:pt idx="304">
                  <c:v>17.23794679959925</c:v>
                </c:pt>
                <c:pt idx="305">
                  <c:v>20.94313540674754</c:v>
                </c:pt>
                <c:pt idx="306">
                  <c:v>16.772593071752055</c:v>
                </c:pt>
                <c:pt idx="307">
                  <c:v>16.786484387643331</c:v>
                </c:pt>
                <c:pt idx="308">
                  <c:v>18.93319901804275</c:v>
                </c:pt>
                <c:pt idx="309">
                  <c:v>20.668766700595995</c:v>
                </c:pt>
                <c:pt idx="310">
                  <c:v>23.320991000384343</c:v>
                </c:pt>
                <c:pt idx="311">
                  <c:v>20.774428063313049</c:v>
                </c:pt>
                <c:pt idx="312">
                  <c:v>18.425802244475889</c:v>
                </c:pt>
                <c:pt idx="313">
                  <c:v>19.500032986494595</c:v>
                </c:pt>
                <c:pt idx="314">
                  <c:v>18.471186072832491</c:v>
                </c:pt>
                <c:pt idx="315">
                  <c:v>16.482286131081135</c:v>
                </c:pt>
                <c:pt idx="316">
                  <c:v>12.884480386219067</c:v>
                </c:pt>
                <c:pt idx="317">
                  <c:v>16.659308038841775</c:v>
                </c:pt>
                <c:pt idx="318">
                  <c:v>17.113948393361724</c:v>
                </c:pt>
                <c:pt idx="319">
                  <c:v>17.293801486177752</c:v>
                </c:pt>
                <c:pt idx="320">
                  <c:v>18.58577371381266</c:v>
                </c:pt>
                <c:pt idx="321">
                  <c:v>21.741549711018223</c:v>
                </c:pt>
                <c:pt idx="322">
                  <c:v>21.56379360384663</c:v>
                </c:pt>
                <c:pt idx="323">
                  <c:v>22.37309526268751</c:v>
                </c:pt>
                <c:pt idx="324">
                  <c:v>24.385412805269471</c:v>
                </c:pt>
                <c:pt idx="325">
                  <c:v>23.885920724625571</c:v>
                </c:pt>
                <c:pt idx="326">
                  <c:v>19.12290739202146</c:v>
                </c:pt>
                <c:pt idx="327">
                  <c:v>18.880175684845689</c:v>
                </c:pt>
                <c:pt idx="328">
                  <c:v>22.9249573644611</c:v>
                </c:pt>
                <c:pt idx="329">
                  <c:v>23.197103704016438</c:v>
                </c:pt>
                <c:pt idx="330">
                  <c:v>21.314734241217625</c:v>
                </c:pt>
                <c:pt idx="331">
                  <c:v>24.703876781057428</c:v>
                </c:pt>
                <c:pt idx="332">
                  <c:v>22.809266148503223</c:v>
                </c:pt>
                <c:pt idx="333">
                  <c:v>25.564829191141595</c:v>
                </c:pt>
                <c:pt idx="334">
                  <c:v>29.039304781779272</c:v>
                </c:pt>
                <c:pt idx="335">
                  <c:v>25.905351320999632</c:v>
                </c:pt>
                <c:pt idx="336">
                  <c:v>17.909106739673742</c:v>
                </c:pt>
                <c:pt idx="337">
                  <c:v>20.570665376425588</c:v>
                </c:pt>
                <c:pt idx="338">
                  <c:v>21.413066105050415</c:v>
                </c:pt>
                <c:pt idx="339">
                  <c:v>21.09476171188566</c:v>
                </c:pt>
                <c:pt idx="340">
                  <c:v>20.834108273133772</c:v>
                </c:pt>
                <c:pt idx="341">
                  <c:v>16.166136407136023</c:v>
                </c:pt>
                <c:pt idx="342">
                  <c:v>20.952441901596995</c:v>
                </c:pt>
                <c:pt idx="343">
                  <c:v>22.062715090758708</c:v>
                </c:pt>
                <c:pt idx="344">
                  <c:v>24.896099607524039</c:v>
                </c:pt>
                <c:pt idx="345">
                  <c:v>19.72872988552858</c:v>
                </c:pt>
                <c:pt idx="346">
                  <c:v>22.049102411160526</c:v>
                </c:pt>
                <c:pt idx="347">
                  <c:v>23.022574475527797</c:v>
                </c:pt>
                <c:pt idx="348">
                  <c:v>26.596444176371978</c:v>
                </c:pt>
                <c:pt idx="349">
                  <c:v>21.81978104492838</c:v>
                </c:pt>
                <c:pt idx="350">
                  <c:v>20.573392922731781</c:v>
                </c:pt>
                <c:pt idx="351">
                  <c:v>25.133387213367204</c:v>
                </c:pt>
                <c:pt idx="352">
                  <c:v>23.819989634165307</c:v>
                </c:pt>
                <c:pt idx="353">
                  <c:v>24.878167967841861</c:v>
                </c:pt>
                <c:pt idx="354">
                  <c:v>20.823074564080713</c:v>
                </c:pt>
                <c:pt idx="355">
                  <c:v>20.82248696606004</c:v>
                </c:pt>
                <c:pt idx="356">
                  <c:v>24.734279161921034</c:v>
                </c:pt>
                <c:pt idx="357">
                  <c:v>28.047012836179064</c:v>
                </c:pt>
                <c:pt idx="358">
                  <c:v>25.741396746076461</c:v>
                </c:pt>
                <c:pt idx="359">
                  <c:v>19.510832972876781</c:v>
                </c:pt>
                <c:pt idx="360">
                  <c:v>19.506830048100127</c:v>
                </c:pt>
                <c:pt idx="361">
                  <c:v>18.526672954699052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14-445A-BADA-CF129F938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735240"/>
        <c:axId val="1007734160"/>
      </c:lineChart>
      <c:catAx>
        <c:axId val="1007735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734160"/>
        <c:crosses val="autoZero"/>
        <c:auto val="1"/>
        <c:lblAlgn val="ctr"/>
        <c:lblOffset val="100"/>
        <c:noMultiLvlLbl val="0"/>
      </c:catAx>
      <c:valAx>
        <c:axId val="100773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773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SolarTrain!$A$5</c:f>
              <c:strCache>
                <c:ptCount val="1"/>
                <c:pt idx="0">
                  <c:v>Str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SolarTrain!$A$6:$A$370</c:f>
              <c:numCache>
                <c:formatCode>General</c:formatCode>
                <c:ptCount val="365"/>
                <c:pt idx="0">
                  <c:v>7.9820000000000002</c:v>
                </c:pt>
                <c:pt idx="1">
                  <c:v>7.46</c:v>
                </c:pt>
                <c:pt idx="2">
                  <c:v>7.7919999999999998</c:v>
                </c:pt>
                <c:pt idx="3">
                  <c:v>8.4160000000000004</c:v>
                </c:pt>
                <c:pt idx="4">
                  <c:v>8.35</c:v>
                </c:pt>
                <c:pt idx="5">
                  <c:v>7.4580000000000002</c:v>
                </c:pt>
                <c:pt idx="6">
                  <c:v>8.3699999999999992</c:v>
                </c:pt>
                <c:pt idx="7">
                  <c:v>8.4</c:v>
                </c:pt>
                <c:pt idx="8">
                  <c:v>8.1720000000000006</c:v>
                </c:pt>
                <c:pt idx="9">
                  <c:v>8.3000000000000007</c:v>
                </c:pt>
                <c:pt idx="10">
                  <c:v>8.0879999999999992</c:v>
                </c:pt>
                <c:pt idx="11">
                  <c:v>7.1719999999999997</c:v>
                </c:pt>
                <c:pt idx="12">
                  <c:v>3.82</c:v>
                </c:pt>
                <c:pt idx="13">
                  <c:v>7.28</c:v>
                </c:pt>
                <c:pt idx="14">
                  <c:v>7.0640000000000001</c:v>
                </c:pt>
                <c:pt idx="15">
                  <c:v>7.5919999999999996</c:v>
                </c:pt>
                <c:pt idx="16">
                  <c:v>8.2159999999999993</c:v>
                </c:pt>
                <c:pt idx="17">
                  <c:v>8.14</c:v>
                </c:pt>
                <c:pt idx="18">
                  <c:v>7.8620000000000001</c:v>
                </c:pt>
                <c:pt idx="19">
                  <c:v>8.0299999999999994</c:v>
                </c:pt>
                <c:pt idx="20">
                  <c:v>2.044</c:v>
                </c:pt>
                <c:pt idx="21">
                  <c:v>7.1980000000000004</c:v>
                </c:pt>
                <c:pt idx="22">
                  <c:v>4.4539999999999997</c:v>
                </c:pt>
                <c:pt idx="23">
                  <c:v>3.194</c:v>
                </c:pt>
                <c:pt idx="24">
                  <c:v>6.4740000000000002</c:v>
                </c:pt>
                <c:pt idx="25">
                  <c:v>7.8659999999999997</c:v>
                </c:pt>
                <c:pt idx="26">
                  <c:v>7.98</c:v>
                </c:pt>
                <c:pt idx="27">
                  <c:v>7.532</c:v>
                </c:pt>
                <c:pt idx="28">
                  <c:v>6.95</c:v>
                </c:pt>
                <c:pt idx="29">
                  <c:v>7.8819999999999997</c:v>
                </c:pt>
                <c:pt idx="30">
                  <c:v>7.76</c:v>
                </c:pt>
                <c:pt idx="31">
                  <c:v>7.7380000000000004</c:v>
                </c:pt>
                <c:pt idx="32">
                  <c:v>7.85</c:v>
                </c:pt>
                <c:pt idx="33">
                  <c:v>7.766</c:v>
                </c:pt>
                <c:pt idx="34">
                  <c:v>7.484</c:v>
                </c:pt>
                <c:pt idx="35">
                  <c:v>7.66</c:v>
                </c:pt>
                <c:pt idx="36">
                  <c:v>7.6740000000000004</c:v>
                </c:pt>
                <c:pt idx="37">
                  <c:v>6.508</c:v>
                </c:pt>
                <c:pt idx="38">
                  <c:v>7.5620000000000003</c:v>
                </c:pt>
                <c:pt idx="39">
                  <c:v>7.5940000000000003</c:v>
                </c:pt>
                <c:pt idx="40">
                  <c:v>7.5640000000000001</c:v>
                </c:pt>
                <c:pt idx="41">
                  <c:v>7.3259999999999996</c:v>
                </c:pt>
                <c:pt idx="42">
                  <c:v>5.41</c:v>
                </c:pt>
                <c:pt idx="43">
                  <c:v>3.6019999999999999</c:v>
                </c:pt>
                <c:pt idx="44">
                  <c:v>5.61</c:v>
                </c:pt>
                <c:pt idx="45">
                  <c:v>6.5640000000000001</c:v>
                </c:pt>
                <c:pt idx="46">
                  <c:v>6.2119999999999997</c:v>
                </c:pt>
                <c:pt idx="47">
                  <c:v>7.19</c:v>
                </c:pt>
                <c:pt idx="48">
                  <c:v>7.1580000000000004</c:v>
                </c:pt>
                <c:pt idx="49">
                  <c:v>7.258</c:v>
                </c:pt>
                <c:pt idx="50">
                  <c:v>5.37</c:v>
                </c:pt>
                <c:pt idx="51">
                  <c:v>3.71</c:v>
                </c:pt>
                <c:pt idx="52">
                  <c:v>5.2519999999999998</c:v>
                </c:pt>
                <c:pt idx="53">
                  <c:v>1.8</c:v>
                </c:pt>
                <c:pt idx="54">
                  <c:v>4.5839999999999996</c:v>
                </c:pt>
                <c:pt idx="55">
                  <c:v>6.2759999999999998</c:v>
                </c:pt>
                <c:pt idx="56">
                  <c:v>6.8920000000000003</c:v>
                </c:pt>
                <c:pt idx="57">
                  <c:v>5.9740000000000002</c:v>
                </c:pt>
                <c:pt idx="58">
                  <c:v>6.8760000000000003</c:v>
                </c:pt>
                <c:pt idx="59">
                  <c:v>5.1680000000000001</c:v>
                </c:pt>
                <c:pt idx="60">
                  <c:v>6.1520000000000001</c:v>
                </c:pt>
                <c:pt idx="61">
                  <c:v>6.5839999999999996</c:v>
                </c:pt>
                <c:pt idx="62">
                  <c:v>5.3780000000000001</c:v>
                </c:pt>
                <c:pt idx="63">
                  <c:v>6.4720000000000004</c:v>
                </c:pt>
                <c:pt idx="64">
                  <c:v>5.202</c:v>
                </c:pt>
                <c:pt idx="65">
                  <c:v>6.1859999999999999</c:v>
                </c:pt>
                <c:pt idx="66">
                  <c:v>5.5119999999999996</c:v>
                </c:pt>
                <c:pt idx="67">
                  <c:v>1.6479999999999999</c:v>
                </c:pt>
                <c:pt idx="68">
                  <c:v>5.2919999999999998</c:v>
                </c:pt>
                <c:pt idx="69">
                  <c:v>6.2380000000000004</c:v>
                </c:pt>
                <c:pt idx="70">
                  <c:v>6.2720000000000002</c:v>
                </c:pt>
                <c:pt idx="71">
                  <c:v>6.2119999999999997</c:v>
                </c:pt>
                <c:pt idx="72">
                  <c:v>6.1920000000000002</c:v>
                </c:pt>
                <c:pt idx="73">
                  <c:v>6.1680000000000001</c:v>
                </c:pt>
                <c:pt idx="74">
                  <c:v>6.1260000000000003</c:v>
                </c:pt>
                <c:pt idx="75">
                  <c:v>5.5880000000000001</c:v>
                </c:pt>
                <c:pt idx="76">
                  <c:v>3.6859999999999999</c:v>
                </c:pt>
                <c:pt idx="77">
                  <c:v>5.8460000000000001</c:v>
                </c:pt>
                <c:pt idx="78">
                  <c:v>5.81</c:v>
                </c:pt>
                <c:pt idx="79">
                  <c:v>5.3760000000000003</c:v>
                </c:pt>
                <c:pt idx="80">
                  <c:v>4.8099999999999996</c:v>
                </c:pt>
                <c:pt idx="81">
                  <c:v>4.3739999999999997</c:v>
                </c:pt>
                <c:pt idx="82">
                  <c:v>2.95</c:v>
                </c:pt>
                <c:pt idx="83">
                  <c:v>5.242</c:v>
                </c:pt>
                <c:pt idx="84">
                  <c:v>5.4039999999999999</c:v>
                </c:pt>
                <c:pt idx="85">
                  <c:v>5.4320000000000004</c:v>
                </c:pt>
                <c:pt idx="86">
                  <c:v>5.4080000000000004</c:v>
                </c:pt>
                <c:pt idx="87">
                  <c:v>2.214</c:v>
                </c:pt>
                <c:pt idx="88">
                  <c:v>1.3919999999999999</c:v>
                </c:pt>
                <c:pt idx="89">
                  <c:v>5.3959999999999999</c:v>
                </c:pt>
                <c:pt idx="90">
                  <c:v>5.3339999999999996</c:v>
                </c:pt>
                <c:pt idx="91">
                  <c:v>5.1340000000000003</c:v>
                </c:pt>
                <c:pt idx="92">
                  <c:v>5.2640000000000002</c:v>
                </c:pt>
                <c:pt idx="93">
                  <c:v>3.73</c:v>
                </c:pt>
                <c:pt idx="94">
                  <c:v>3.8180000000000001</c:v>
                </c:pt>
                <c:pt idx="95">
                  <c:v>4.3659999999999997</c:v>
                </c:pt>
                <c:pt idx="96">
                  <c:v>3.3119999999999998</c:v>
                </c:pt>
                <c:pt idx="97">
                  <c:v>4.58</c:v>
                </c:pt>
                <c:pt idx="98">
                  <c:v>3.516</c:v>
                </c:pt>
                <c:pt idx="99">
                  <c:v>4.9539999999999997</c:v>
                </c:pt>
                <c:pt idx="100">
                  <c:v>4.7</c:v>
                </c:pt>
                <c:pt idx="101">
                  <c:v>2.218</c:v>
                </c:pt>
                <c:pt idx="102">
                  <c:v>2.2679999999999998</c:v>
                </c:pt>
                <c:pt idx="103">
                  <c:v>3.6880000000000002</c:v>
                </c:pt>
                <c:pt idx="104">
                  <c:v>4.5999999999999996</c:v>
                </c:pt>
                <c:pt idx="105">
                  <c:v>3.742</c:v>
                </c:pt>
                <c:pt idx="106">
                  <c:v>4.4800000000000004</c:v>
                </c:pt>
                <c:pt idx="107">
                  <c:v>4.0519999999999996</c:v>
                </c:pt>
                <c:pt idx="108">
                  <c:v>3.0840000000000001</c:v>
                </c:pt>
                <c:pt idx="109">
                  <c:v>4.03</c:v>
                </c:pt>
                <c:pt idx="110">
                  <c:v>2.1150000000000002</c:v>
                </c:pt>
                <c:pt idx="111">
                  <c:v>4.2300000000000004</c:v>
                </c:pt>
                <c:pt idx="112">
                  <c:v>4.3609999999999998</c:v>
                </c:pt>
                <c:pt idx="113">
                  <c:v>4.0960000000000001</c:v>
                </c:pt>
                <c:pt idx="114">
                  <c:v>2.262</c:v>
                </c:pt>
                <c:pt idx="115">
                  <c:v>4.2750000000000004</c:v>
                </c:pt>
                <c:pt idx="116">
                  <c:v>4.2350000000000003</c:v>
                </c:pt>
                <c:pt idx="117">
                  <c:v>4.1449999999999996</c:v>
                </c:pt>
                <c:pt idx="118">
                  <c:v>3.3380000000000001</c:v>
                </c:pt>
                <c:pt idx="119">
                  <c:v>4.0369999999999999</c:v>
                </c:pt>
                <c:pt idx="120">
                  <c:v>4.0679999999999996</c:v>
                </c:pt>
                <c:pt idx="121">
                  <c:v>3.9809999999999999</c:v>
                </c:pt>
                <c:pt idx="122">
                  <c:v>3.585</c:v>
                </c:pt>
                <c:pt idx="123">
                  <c:v>3.3069999999999999</c:v>
                </c:pt>
                <c:pt idx="124">
                  <c:v>3.0339999999999998</c:v>
                </c:pt>
                <c:pt idx="125">
                  <c:v>2.6349999999999998</c:v>
                </c:pt>
                <c:pt idx="126">
                  <c:v>3.754</c:v>
                </c:pt>
                <c:pt idx="127">
                  <c:v>3.633</c:v>
                </c:pt>
                <c:pt idx="128">
                  <c:v>3.6920000000000002</c:v>
                </c:pt>
                <c:pt idx="129">
                  <c:v>3.5750000000000002</c:v>
                </c:pt>
                <c:pt idx="130">
                  <c:v>1.38</c:v>
                </c:pt>
                <c:pt idx="131">
                  <c:v>3.5169999999999999</c:v>
                </c:pt>
                <c:pt idx="132">
                  <c:v>2.202</c:v>
                </c:pt>
                <c:pt idx="133">
                  <c:v>3.2629999999999999</c:v>
                </c:pt>
                <c:pt idx="134">
                  <c:v>3.2509999999999999</c:v>
                </c:pt>
                <c:pt idx="135">
                  <c:v>3.5179999999999998</c:v>
                </c:pt>
                <c:pt idx="136">
                  <c:v>3.2170000000000001</c:v>
                </c:pt>
                <c:pt idx="137">
                  <c:v>2.2400000000000002</c:v>
                </c:pt>
                <c:pt idx="138">
                  <c:v>2.968</c:v>
                </c:pt>
                <c:pt idx="139">
                  <c:v>3.29</c:v>
                </c:pt>
                <c:pt idx="140">
                  <c:v>3.3740000000000001</c:v>
                </c:pt>
                <c:pt idx="141">
                  <c:v>3.1840000000000002</c:v>
                </c:pt>
                <c:pt idx="142">
                  <c:v>3.1760000000000002</c:v>
                </c:pt>
                <c:pt idx="143">
                  <c:v>3.0390000000000001</c:v>
                </c:pt>
                <c:pt idx="144">
                  <c:v>2.665</c:v>
                </c:pt>
                <c:pt idx="145">
                  <c:v>3.28</c:v>
                </c:pt>
                <c:pt idx="146">
                  <c:v>2.8660000000000001</c:v>
                </c:pt>
                <c:pt idx="147">
                  <c:v>2.1280000000000001</c:v>
                </c:pt>
                <c:pt idx="148">
                  <c:v>1.131</c:v>
                </c:pt>
                <c:pt idx="149">
                  <c:v>3.141</c:v>
                </c:pt>
                <c:pt idx="150">
                  <c:v>2.1179999999999999</c:v>
                </c:pt>
                <c:pt idx="151">
                  <c:v>1.7889999999999999</c:v>
                </c:pt>
                <c:pt idx="152">
                  <c:v>2.84</c:v>
                </c:pt>
                <c:pt idx="153">
                  <c:v>2.952</c:v>
                </c:pt>
                <c:pt idx="154">
                  <c:v>3.02</c:v>
                </c:pt>
                <c:pt idx="155">
                  <c:v>3.1160000000000001</c:v>
                </c:pt>
                <c:pt idx="156">
                  <c:v>3.04</c:v>
                </c:pt>
                <c:pt idx="157">
                  <c:v>3.0979999999999999</c:v>
                </c:pt>
                <c:pt idx="158">
                  <c:v>2.7210000000000001</c:v>
                </c:pt>
                <c:pt idx="159">
                  <c:v>1.111</c:v>
                </c:pt>
                <c:pt idx="160">
                  <c:v>2.911</c:v>
                </c:pt>
                <c:pt idx="161">
                  <c:v>2.7749999999999999</c:v>
                </c:pt>
                <c:pt idx="162">
                  <c:v>2.536</c:v>
                </c:pt>
                <c:pt idx="163">
                  <c:v>1.992</c:v>
                </c:pt>
                <c:pt idx="164">
                  <c:v>2.3319999999999999</c:v>
                </c:pt>
                <c:pt idx="165">
                  <c:v>2.8879999999999999</c:v>
                </c:pt>
                <c:pt idx="166">
                  <c:v>2.802</c:v>
                </c:pt>
                <c:pt idx="167">
                  <c:v>2.496</c:v>
                </c:pt>
                <c:pt idx="168">
                  <c:v>2.3359999999999999</c:v>
                </c:pt>
                <c:pt idx="169">
                  <c:v>2.3839999999999999</c:v>
                </c:pt>
                <c:pt idx="170">
                  <c:v>2.8479999999999999</c:v>
                </c:pt>
                <c:pt idx="171">
                  <c:v>2.72</c:v>
                </c:pt>
                <c:pt idx="172">
                  <c:v>2.802</c:v>
                </c:pt>
                <c:pt idx="173">
                  <c:v>2.044</c:v>
                </c:pt>
                <c:pt idx="174">
                  <c:v>1.79</c:v>
                </c:pt>
                <c:pt idx="175">
                  <c:v>1.8480000000000001</c:v>
                </c:pt>
                <c:pt idx="176">
                  <c:v>2.8959999999999999</c:v>
                </c:pt>
                <c:pt idx="177">
                  <c:v>2.9540000000000002</c:v>
                </c:pt>
                <c:pt idx="178">
                  <c:v>3.016</c:v>
                </c:pt>
                <c:pt idx="179">
                  <c:v>1.6719999999999999</c:v>
                </c:pt>
                <c:pt idx="180">
                  <c:v>1.64</c:v>
                </c:pt>
                <c:pt idx="181">
                  <c:v>2.302</c:v>
                </c:pt>
                <c:pt idx="182">
                  <c:v>1.6120000000000001</c:v>
                </c:pt>
                <c:pt idx="183">
                  <c:v>2.3140000000000001</c:v>
                </c:pt>
                <c:pt idx="184">
                  <c:v>2.44</c:v>
                </c:pt>
                <c:pt idx="185">
                  <c:v>1.732</c:v>
                </c:pt>
                <c:pt idx="186">
                  <c:v>2.7480000000000002</c:v>
                </c:pt>
                <c:pt idx="187">
                  <c:v>3.06</c:v>
                </c:pt>
                <c:pt idx="188">
                  <c:v>2.3159999999999998</c:v>
                </c:pt>
                <c:pt idx="189">
                  <c:v>1.788</c:v>
                </c:pt>
                <c:pt idx="190">
                  <c:v>2.7080000000000002</c:v>
                </c:pt>
                <c:pt idx="191">
                  <c:v>2.802</c:v>
                </c:pt>
                <c:pt idx="192">
                  <c:v>2.2959999999999998</c:v>
                </c:pt>
                <c:pt idx="193">
                  <c:v>1.946</c:v>
                </c:pt>
                <c:pt idx="194">
                  <c:v>2.73</c:v>
                </c:pt>
                <c:pt idx="195">
                  <c:v>2.73</c:v>
                </c:pt>
                <c:pt idx="196">
                  <c:v>1.294</c:v>
                </c:pt>
                <c:pt idx="197">
                  <c:v>2.048</c:v>
                </c:pt>
                <c:pt idx="198">
                  <c:v>1.968</c:v>
                </c:pt>
                <c:pt idx="199">
                  <c:v>1.9159999999999999</c:v>
                </c:pt>
                <c:pt idx="200">
                  <c:v>3.206</c:v>
                </c:pt>
                <c:pt idx="201">
                  <c:v>2.7280000000000002</c:v>
                </c:pt>
                <c:pt idx="202">
                  <c:v>2.99</c:v>
                </c:pt>
                <c:pt idx="203">
                  <c:v>3.05</c:v>
                </c:pt>
                <c:pt idx="204">
                  <c:v>3.0459999999999998</c:v>
                </c:pt>
                <c:pt idx="205">
                  <c:v>3.036</c:v>
                </c:pt>
                <c:pt idx="206">
                  <c:v>2.9820000000000002</c:v>
                </c:pt>
                <c:pt idx="207">
                  <c:v>3.3479999999999999</c:v>
                </c:pt>
                <c:pt idx="208">
                  <c:v>1.47</c:v>
                </c:pt>
                <c:pt idx="209">
                  <c:v>3.0920000000000001</c:v>
                </c:pt>
                <c:pt idx="210">
                  <c:v>2.1960000000000002</c:v>
                </c:pt>
                <c:pt idx="211">
                  <c:v>3.0760000000000001</c:v>
                </c:pt>
                <c:pt idx="212">
                  <c:v>3.242</c:v>
                </c:pt>
                <c:pt idx="213">
                  <c:v>2.6739999999999999</c:v>
                </c:pt>
                <c:pt idx="214">
                  <c:v>2.5259999999999998</c:v>
                </c:pt>
                <c:pt idx="215">
                  <c:v>2.6219999999999999</c:v>
                </c:pt>
                <c:pt idx="216">
                  <c:v>3.6240000000000001</c:v>
                </c:pt>
                <c:pt idx="217">
                  <c:v>3.802</c:v>
                </c:pt>
                <c:pt idx="218">
                  <c:v>3.43</c:v>
                </c:pt>
                <c:pt idx="219">
                  <c:v>3.56</c:v>
                </c:pt>
                <c:pt idx="220">
                  <c:v>1.1120000000000001</c:v>
                </c:pt>
                <c:pt idx="221">
                  <c:v>3.484</c:v>
                </c:pt>
                <c:pt idx="222">
                  <c:v>2.75</c:v>
                </c:pt>
                <c:pt idx="223">
                  <c:v>1.1120000000000001</c:v>
                </c:pt>
                <c:pt idx="224">
                  <c:v>3.5880000000000001</c:v>
                </c:pt>
                <c:pt idx="225">
                  <c:v>3.09</c:v>
                </c:pt>
                <c:pt idx="226">
                  <c:v>2.504</c:v>
                </c:pt>
                <c:pt idx="227">
                  <c:v>4.1100000000000003</c:v>
                </c:pt>
                <c:pt idx="228">
                  <c:v>3.8460000000000001</c:v>
                </c:pt>
                <c:pt idx="229">
                  <c:v>1.1120000000000001</c:v>
                </c:pt>
                <c:pt idx="230">
                  <c:v>2.35</c:v>
                </c:pt>
                <c:pt idx="231">
                  <c:v>4.0720000000000001</c:v>
                </c:pt>
                <c:pt idx="232">
                  <c:v>4.2759999999999998</c:v>
                </c:pt>
                <c:pt idx="233">
                  <c:v>3.6240000000000001</c:v>
                </c:pt>
                <c:pt idx="234">
                  <c:v>3.7120000000000002</c:v>
                </c:pt>
                <c:pt idx="235">
                  <c:v>3.556</c:v>
                </c:pt>
                <c:pt idx="236">
                  <c:v>4.5119999999999996</c:v>
                </c:pt>
                <c:pt idx="237">
                  <c:v>2.444</c:v>
                </c:pt>
                <c:pt idx="238">
                  <c:v>4.29</c:v>
                </c:pt>
                <c:pt idx="239">
                  <c:v>4.3120000000000003</c:v>
                </c:pt>
                <c:pt idx="240">
                  <c:v>3.2719999999999998</c:v>
                </c:pt>
                <c:pt idx="241">
                  <c:v>4.4820000000000002</c:v>
                </c:pt>
                <c:pt idx="242">
                  <c:v>4.1539999999999999</c:v>
                </c:pt>
                <c:pt idx="243">
                  <c:v>4.54</c:v>
                </c:pt>
                <c:pt idx="244">
                  <c:v>4.0860000000000003</c:v>
                </c:pt>
                <c:pt idx="245">
                  <c:v>4.7640000000000002</c:v>
                </c:pt>
                <c:pt idx="246">
                  <c:v>4.2539999999999996</c:v>
                </c:pt>
                <c:pt idx="247">
                  <c:v>4.6639999999999997</c:v>
                </c:pt>
                <c:pt idx="248">
                  <c:v>4.4059999999999997</c:v>
                </c:pt>
                <c:pt idx="249">
                  <c:v>5.0949999999999998</c:v>
                </c:pt>
                <c:pt idx="250">
                  <c:v>4.9509999999999996</c:v>
                </c:pt>
                <c:pt idx="251">
                  <c:v>5.26</c:v>
                </c:pt>
                <c:pt idx="252">
                  <c:v>4.2240000000000002</c:v>
                </c:pt>
                <c:pt idx="253">
                  <c:v>4.5720000000000001</c:v>
                </c:pt>
                <c:pt idx="254">
                  <c:v>4.141</c:v>
                </c:pt>
                <c:pt idx="255">
                  <c:v>4.3959999999999999</c:v>
                </c:pt>
                <c:pt idx="256">
                  <c:v>3.516</c:v>
                </c:pt>
                <c:pt idx="257">
                  <c:v>4.6260000000000003</c:v>
                </c:pt>
                <c:pt idx="258">
                  <c:v>5.1829999999999998</c:v>
                </c:pt>
                <c:pt idx="259">
                  <c:v>3.9510000000000001</c:v>
                </c:pt>
                <c:pt idx="260">
                  <c:v>4.1360000000000001</c:v>
                </c:pt>
                <c:pt idx="261">
                  <c:v>5.4279999999999999</c:v>
                </c:pt>
                <c:pt idx="262">
                  <c:v>5.2450000000000001</c:v>
                </c:pt>
                <c:pt idx="263">
                  <c:v>5.7619999999999996</c:v>
                </c:pt>
                <c:pt idx="264">
                  <c:v>5.7009999999999996</c:v>
                </c:pt>
                <c:pt idx="265">
                  <c:v>4.6890000000000001</c:v>
                </c:pt>
                <c:pt idx="266">
                  <c:v>5.7320000000000002</c:v>
                </c:pt>
                <c:pt idx="267">
                  <c:v>5.1829999999999998</c:v>
                </c:pt>
                <c:pt idx="268">
                  <c:v>4.6749999999999998</c:v>
                </c:pt>
                <c:pt idx="269">
                  <c:v>4.9729999999999999</c:v>
                </c:pt>
                <c:pt idx="270">
                  <c:v>4.9290000000000003</c:v>
                </c:pt>
                <c:pt idx="271">
                  <c:v>6.0369999999999999</c:v>
                </c:pt>
                <c:pt idx="272">
                  <c:v>5.5789999999999997</c:v>
                </c:pt>
                <c:pt idx="273">
                  <c:v>5.4889999999999999</c:v>
                </c:pt>
                <c:pt idx="274">
                  <c:v>1.603</c:v>
                </c:pt>
                <c:pt idx="275">
                  <c:v>6.141</c:v>
                </c:pt>
                <c:pt idx="276">
                  <c:v>5.3559999999999999</c:v>
                </c:pt>
                <c:pt idx="277">
                  <c:v>4.1950000000000003</c:v>
                </c:pt>
                <c:pt idx="278">
                  <c:v>4.4180000000000001</c:v>
                </c:pt>
                <c:pt idx="279">
                  <c:v>5.9169999999999998</c:v>
                </c:pt>
                <c:pt idx="280">
                  <c:v>5.8840000000000003</c:v>
                </c:pt>
                <c:pt idx="281">
                  <c:v>4.0709999999999997</c:v>
                </c:pt>
                <c:pt idx="282">
                  <c:v>5.4210000000000003</c:v>
                </c:pt>
                <c:pt idx="283">
                  <c:v>6.6769999999999996</c:v>
                </c:pt>
                <c:pt idx="284">
                  <c:v>6.2140000000000004</c:v>
                </c:pt>
                <c:pt idx="285">
                  <c:v>6.141</c:v>
                </c:pt>
                <c:pt idx="286">
                  <c:v>6.5270000000000001</c:v>
                </c:pt>
                <c:pt idx="287">
                  <c:v>6.7320000000000002</c:v>
                </c:pt>
                <c:pt idx="288">
                  <c:v>6.8239999999999998</c:v>
                </c:pt>
                <c:pt idx="289">
                  <c:v>5.4219999999999997</c:v>
                </c:pt>
                <c:pt idx="290">
                  <c:v>6.0659999999999998</c:v>
                </c:pt>
                <c:pt idx="291">
                  <c:v>5.444</c:v>
                </c:pt>
                <c:pt idx="292">
                  <c:v>7.0330000000000004</c:v>
                </c:pt>
                <c:pt idx="293">
                  <c:v>6.9160000000000004</c:v>
                </c:pt>
                <c:pt idx="294">
                  <c:v>6.9039999999999999</c:v>
                </c:pt>
                <c:pt idx="295">
                  <c:v>6.96</c:v>
                </c:pt>
                <c:pt idx="296">
                  <c:v>7.0270000000000001</c:v>
                </c:pt>
                <c:pt idx="297">
                  <c:v>6.9390000000000001</c:v>
                </c:pt>
                <c:pt idx="298">
                  <c:v>6.9710000000000001</c:v>
                </c:pt>
                <c:pt idx="299">
                  <c:v>7.0419999999999998</c:v>
                </c:pt>
                <c:pt idx="300">
                  <c:v>6.9219999999999997</c:v>
                </c:pt>
                <c:pt idx="301">
                  <c:v>7.2939999999999996</c:v>
                </c:pt>
                <c:pt idx="302">
                  <c:v>7.15</c:v>
                </c:pt>
                <c:pt idx="303">
                  <c:v>7.4080000000000004</c:v>
                </c:pt>
                <c:pt idx="304">
                  <c:v>7.319</c:v>
                </c:pt>
                <c:pt idx="305">
                  <c:v>6.62</c:v>
                </c:pt>
                <c:pt idx="306">
                  <c:v>5.1379999999999999</c:v>
                </c:pt>
                <c:pt idx="307">
                  <c:v>7.3209999999999997</c:v>
                </c:pt>
                <c:pt idx="308">
                  <c:v>6.6189999999999998</c:v>
                </c:pt>
                <c:pt idx="309">
                  <c:v>6.2329999999999997</c:v>
                </c:pt>
                <c:pt idx="310">
                  <c:v>7.1390000000000002</c:v>
                </c:pt>
                <c:pt idx="311">
                  <c:v>5.351</c:v>
                </c:pt>
                <c:pt idx="312">
                  <c:v>6.5449999999999999</c:v>
                </c:pt>
                <c:pt idx="313">
                  <c:v>7.468</c:v>
                </c:pt>
                <c:pt idx="314">
                  <c:v>7.5519999999999996</c:v>
                </c:pt>
                <c:pt idx="315">
                  <c:v>7.4470000000000001</c:v>
                </c:pt>
                <c:pt idx="316">
                  <c:v>5.3449999999999998</c:v>
                </c:pt>
                <c:pt idx="317">
                  <c:v>7.5970000000000004</c:v>
                </c:pt>
                <c:pt idx="318">
                  <c:v>7.0270000000000001</c:v>
                </c:pt>
                <c:pt idx="319">
                  <c:v>4.8140000000000001</c:v>
                </c:pt>
                <c:pt idx="320">
                  <c:v>7.258</c:v>
                </c:pt>
                <c:pt idx="321">
                  <c:v>6.77</c:v>
                </c:pt>
                <c:pt idx="322">
                  <c:v>7.4269999999999996</c:v>
                </c:pt>
                <c:pt idx="323">
                  <c:v>4.5069999999999997</c:v>
                </c:pt>
                <c:pt idx="324">
                  <c:v>7.4829999999999997</c:v>
                </c:pt>
                <c:pt idx="325">
                  <c:v>6.6559999999999997</c:v>
                </c:pt>
                <c:pt idx="326">
                  <c:v>6.95</c:v>
                </c:pt>
                <c:pt idx="327">
                  <c:v>8.0220000000000002</c:v>
                </c:pt>
                <c:pt idx="328">
                  <c:v>7.5220000000000002</c:v>
                </c:pt>
                <c:pt idx="329">
                  <c:v>8.0739999999999998</c:v>
                </c:pt>
                <c:pt idx="330">
                  <c:v>7.9630000000000001</c:v>
                </c:pt>
                <c:pt idx="331">
                  <c:v>6.0140000000000002</c:v>
                </c:pt>
                <c:pt idx="332">
                  <c:v>6.657</c:v>
                </c:pt>
                <c:pt idx="333">
                  <c:v>7.7460000000000004</c:v>
                </c:pt>
                <c:pt idx="334">
                  <c:v>7.9960000000000004</c:v>
                </c:pt>
                <c:pt idx="335">
                  <c:v>8.1720000000000006</c:v>
                </c:pt>
                <c:pt idx="336">
                  <c:v>7.1760000000000002</c:v>
                </c:pt>
                <c:pt idx="337">
                  <c:v>6.673</c:v>
                </c:pt>
                <c:pt idx="338">
                  <c:v>8.3059999999999992</c:v>
                </c:pt>
                <c:pt idx="339">
                  <c:v>7.36</c:v>
                </c:pt>
                <c:pt idx="340">
                  <c:v>8.3450000000000006</c:v>
                </c:pt>
                <c:pt idx="341">
                  <c:v>8.3539999999999992</c:v>
                </c:pt>
                <c:pt idx="342">
                  <c:v>8.0359999999999996</c:v>
                </c:pt>
                <c:pt idx="343">
                  <c:v>5.9550000000000001</c:v>
                </c:pt>
                <c:pt idx="344">
                  <c:v>3.1560000000000001</c:v>
                </c:pt>
                <c:pt idx="345">
                  <c:v>6.8840000000000003</c:v>
                </c:pt>
                <c:pt idx="346">
                  <c:v>7.7039999999999997</c:v>
                </c:pt>
                <c:pt idx="347">
                  <c:v>7.44</c:v>
                </c:pt>
                <c:pt idx="348">
                  <c:v>6.0179999999999998</c:v>
                </c:pt>
                <c:pt idx="349">
                  <c:v>8.2880000000000003</c:v>
                </c:pt>
                <c:pt idx="350">
                  <c:v>7.3769999999999998</c:v>
                </c:pt>
                <c:pt idx="351">
                  <c:v>7.89</c:v>
                </c:pt>
                <c:pt idx="352">
                  <c:v>7.915</c:v>
                </c:pt>
                <c:pt idx="353">
                  <c:v>5.9509999999999996</c:v>
                </c:pt>
                <c:pt idx="354">
                  <c:v>7.0919999999999996</c:v>
                </c:pt>
                <c:pt idx="355">
                  <c:v>8.3520000000000003</c:v>
                </c:pt>
                <c:pt idx="356">
                  <c:v>8.3320000000000007</c:v>
                </c:pt>
                <c:pt idx="357">
                  <c:v>8.3919999999999995</c:v>
                </c:pt>
                <c:pt idx="358">
                  <c:v>7.62</c:v>
                </c:pt>
                <c:pt idx="359">
                  <c:v>6.1920000000000002</c:v>
                </c:pt>
                <c:pt idx="360">
                  <c:v>2.1480000000000001</c:v>
                </c:pt>
                <c:pt idx="361">
                  <c:v>8.27</c:v>
                </c:pt>
                <c:pt idx="362">
                  <c:v>4.6820000000000004</c:v>
                </c:pt>
                <c:pt idx="363">
                  <c:v>3.4460000000000002</c:v>
                </c:pt>
                <c:pt idx="364">
                  <c:v>6.33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BC-4890-893B-6E344844E69C}"/>
            </c:ext>
          </c:extLst>
        </c:ser>
        <c:ser>
          <c:idx val="1"/>
          <c:order val="1"/>
          <c:tx>
            <c:strRef>
              <c:f>SolarTrain!$D$5</c:f>
              <c:strCache>
                <c:ptCount val="1"/>
                <c:pt idx="0">
                  <c:v>Model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SolarTrain!$D$6:$D$370</c:f>
              <c:numCache>
                <c:formatCode>General</c:formatCode>
                <c:ptCount val="365"/>
                <c:pt idx="0">
                  <c:v>7.3241853640781613</c:v>
                </c:pt>
                <c:pt idx="1">
                  <c:v>7.3160421471345636</c:v>
                </c:pt>
                <c:pt idx="2">
                  <c:v>7.3071773161977802</c:v>
                </c:pt>
                <c:pt idx="3">
                  <c:v>7.2975934981085349</c:v>
                </c:pt>
                <c:pt idx="4">
                  <c:v>7.287293532758965</c:v>
                </c:pt>
                <c:pt idx="5">
                  <c:v>7.2762804722510941</c:v>
                </c:pt>
                <c:pt idx="6">
                  <c:v>7.2645575799924327</c:v>
                </c:pt>
                <c:pt idx="7">
                  <c:v>7.2521283297289578</c:v>
                </c:pt>
                <c:pt idx="8">
                  <c:v>7.2389964045157669</c:v>
                </c:pt>
                <c:pt idx="9">
                  <c:v>7.2251656956257104</c:v>
                </c:pt>
                <c:pt idx="10">
                  <c:v>7.2106403013963254</c:v>
                </c:pt>
                <c:pt idx="11">
                  <c:v>7.1954245260154046</c:v>
                </c:pt>
                <c:pt idx="12">
                  <c:v>7.179522878245578</c:v>
                </c:pt>
                <c:pt idx="13">
                  <c:v>7.1629400700882631</c:v>
                </c:pt>
                <c:pt idx="14">
                  <c:v>7.145681015387404</c:v>
                </c:pt>
                <c:pt idx="15">
                  <c:v>7.1277508283733901</c:v>
                </c:pt>
                <c:pt idx="16">
                  <c:v>7.1091548221476</c:v>
                </c:pt>
                <c:pt idx="17">
                  <c:v>7.0898985071080105</c:v>
                </c:pt>
                <c:pt idx="18">
                  <c:v>7.0699875893163542</c:v>
                </c:pt>
                <c:pt idx="19">
                  <c:v>7.0494279688072865</c:v>
                </c:pt>
                <c:pt idx="20">
                  <c:v>7.0282257378400752</c:v>
                </c:pt>
                <c:pt idx="21">
                  <c:v>7.0063871790933394</c:v>
                </c:pt>
                <c:pt idx="22">
                  <c:v>6.9839187638033504</c:v>
                </c:pt>
                <c:pt idx="23">
                  <c:v>6.9608271498464651</c:v>
                </c:pt>
                <c:pt idx="24">
                  <c:v>6.9371191797662579</c:v>
                </c:pt>
                <c:pt idx="25">
                  <c:v>6.912801878745924</c:v>
                </c:pt>
                <c:pt idx="26">
                  <c:v>6.8878824525265641</c:v>
                </c:pt>
                <c:pt idx="27">
                  <c:v>6.862368285271975</c:v>
                </c:pt>
                <c:pt idx="28">
                  <c:v>6.8362669373805529</c:v>
                </c:pt>
                <c:pt idx="29">
                  <c:v>6.8095861432449922</c:v>
                </c:pt>
                <c:pt idx="30">
                  <c:v>6.7823338089604128</c:v>
                </c:pt>
                <c:pt idx="31">
                  <c:v>6.7545180099816182</c:v>
                </c:pt>
                <c:pt idx="32">
                  <c:v>6.7261469887301608</c:v>
                </c:pt>
                <c:pt idx="33">
                  <c:v>6.6972291521519312</c:v>
                </c:pt>
                <c:pt idx="34">
                  <c:v>6.6677730692260075</c:v>
                </c:pt>
                <c:pt idx="35">
                  <c:v>6.6377874684254756</c:v>
                </c:pt>
                <c:pt idx="36">
                  <c:v>6.6072812351309924</c:v>
                </c:pt>
                <c:pt idx="37">
                  <c:v>6.576263408997864</c:v>
                </c:pt>
                <c:pt idx="38">
                  <c:v>6.5447431812773917</c:v>
                </c:pt>
                <c:pt idx="39">
                  <c:v>6.5127298920933132</c:v>
                </c:pt>
                <c:pt idx="40">
                  <c:v>6.4802330276741147</c:v>
                </c:pt>
                <c:pt idx="41">
                  <c:v>6.4472622175420646</c:v>
                </c:pt>
                <c:pt idx="42">
                  <c:v>6.4138272316597735</c:v>
                </c:pt>
                <c:pt idx="43">
                  <c:v>6.3799379775351444</c:v>
                </c:pt>
                <c:pt idx="44">
                  <c:v>6.3456044972855636</c:v>
                </c:pt>
                <c:pt idx="45">
                  <c:v>6.3108369646622071</c:v>
                </c:pt>
                <c:pt idx="46">
                  <c:v>6.2756456820353357</c:v>
                </c:pt>
                <c:pt idx="47">
                  <c:v>6.2400410773414814</c:v>
                </c:pt>
                <c:pt idx="48">
                  <c:v>6.2040337009934268</c:v>
                </c:pt>
                <c:pt idx="49">
                  <c:v>6.1676342227538852</c:v>
                </c:pt>
                <c:pt idx="50">
                  <c:v>6.1308534285738245</c:v>
                </c:pt>
                <c:pt idx="51">
                  <c:v>6.0937022173963546</c:v>
                </c:pt>
                <c:pt idx="52">
                  <c:v>6.0561915979271363</c:v>
                </c:pt>
                <c:pt idx="53">
                  <c:v>6.0183326853722638</c:v>
                </c:pt>
                <c:pt idx="54">
                  <c:v>5.98013669814459</c:v>
                </c:pt>
                <c:pt idx="55">
                  <c:v>5.9416149545394656</c:v>
                </c:pt>
                <c:pt idx="56">
                  <c:v>5.9027788693808905</c:v>
                </c:pt>
                <c:pt idx="57">
                  <c:v>5.8636399506390475</c:v>
                </c:pt>
                <c:pt idx="58">
                  <c:v>5.8242097960202468</c:v>
                </c:pt>
                <c:pt idx="59">
                  <c:v>5.7845000895302734</c:v>
                </c:pt>
                <c:pt idx="60">
                  <c:v>5.7445225980121668</c:v>
                </c:pt>
                <c:pt idx="61">
                  <c:v>5.70428916765945</c:v>
                </c:pt>
                <c:pt idx="62">
                  <c:v>5.6638117205058425</c:v>
                </c:pt>
                <c:pt idx="63">
                  <c:v>5.6231022508925133</c:v>
                </c:pt>
                <c:pt idx="64">
                  <c:v>5.5821728219138889</c:v>
                </c:pt>
                <c:pt idx="65">
                  <c:v>5.5410355618431062</c:v>
                </c:pt>
                <c:pt idx="66">
                  <c:v>5.4997026605381398</c:v>
                </c:pt>
                <c:pt idx="67">
                  <c:v>5.4581863658296816</c:v>
                </c:pt>
                <c:pt idx="68">
                  <c:v>5.4164989798918501</c:v>
                </c:pt>
                <c:pt idx="69">
                  <c:v>5.3746528555967865</c:v>
                </c:pt>
                <c:pt idx="70">
                  <c:v>5.3326603928542307</c:v>
                </c:pt>
                <c:pt idx="71">
                  <c:v>5.290534034937167</c:v>
                </c:pt>
                <c:pt idx="72">
                  <c:v>5.248286264794606</c:v>
                </c:pt>
                <c:pt idx="73">
                  <c:v>5.2059296013526231</c:v>
                </c:pt>
                <c:pt idx="74">
                  <c:v>5.1634765958047284</c:v>
                </c:pt>
                <c:pt idx="75">
                  <c:v>5.1209398278926761</c:v>
                </c:pt>
                <c:pt idx="76">
                  <c:v>5.0783319021788174</c:v>
                </c:pt>
                <c:pt idx="77">
                  <c:v>5.0356654443110944</c:v>
                </c:pt>
                <c:pt idx="78">
                  <c:v>4.9929530972817933</c:v>
                </c:pt>
                <c:pt idx="79">
                  <c:v>4.9502075176811449</c:v>
                </c:pt>
                <c:pt idx="80">
                  <c:v>4.9074413719469101</c:v>
                </c:pt>
                <c:pt idx="81">
                  <c:v>4.8646673326110399</c:v>
                </c:pt>
                <c:pt idx="82">
                  <c:v>4.8218980745445288</c:v>
                </c:pt>
                <c:pt idx="83">
                  <c:v>4.7791462712015775</c:v>
                </c:pt>
                <c:pt idx="84">
                  <c:v>4.7364245908641758</c:v>
                </c:pt>
                <c:pt idx="85">
                  <c:v>4.6937456928882186</c:v>
                </c:pt>
                <c:pt idx="86">
                  <c:v>4.6511222239522603</c:v>
                </c:pt>
                <c:pt idx="87">
                  <c:v>4.6085668143100378</c:v>
                </c:pt>
                <c:pt idx="88">
                  <c:v>4.5660920740478481</c:v>
                </c:pt>
                <c:pt idx="89">
                  <c:v>4.5237105893479113</c:v>
                </c:pt>
                <c:pt idx="90">
                  <c:v>4.4814349187588114</c:v>
                </c:pt>
                <c:pt idx="91">
                  <c:v>4.4392775894741279</c:v>
                </c:pt>
                <c:pt idx="92">
                  <c:v>4.3972510936203566</c:v>
                </c:pt>
                <c:pt idx="93">
                  <c:v>4.3553678845552257</c:v>
                </c:pt>
                <c:pt idx="94">
                  <c:v>4.3136403731774955</c:v>
                </c:pt>
                <c:pt idx="95">
                  <c:v>4.2720809242493392</c:v>
                </c:pt>
                <c:pt idx="96">
                  <c:v>4.2307018527324018</c:v>
                </c:pt>
                <c:pt idx="97">
                  <c:v>4.1895154201386067</c:v>
                </c:pt>
                <c:pt idx="98">
                  <c:v>4.1485338308968078</c:v>
                </c:pt>
                <c:pt idx="99">
                  <c:v>4.1077692287363519</c:v>
                </c:pt>
                <c:pt idx="100">
                  <c:v>4.0672336930886326</c:v>
                </c:pt>
                <c:pt idx="101">
                  <c:v>4.0269392355076903</c:v>
                </c:pt>
                <c:pt idx="102">
                  <c:v>3.98689779611093</c:v>
                </c:pt>
                <c:pt idx="103">
                  <c:v>3.9471212400410129</c:v>
                </c:pt>
                <c:pt idx="104">
                  <c:v>3.9076213539499487</c:v>
                </c:pt>
                <c:pt idx="105">
                  <c:v>3.8684098425064648</c:v>
                </c:pt>
                <c:pt idx="106">
                  <c:v>3.8294983249276555</c:v>
                </c:pt>
                <c:pt idx="107">
                  <c:v>3.7908983315359581</c:v>
                </c:pt>
                <c:pt idx="108">
                  <c:v>3.7526213003424713</c:v>
                </c:pt>
                <c:pt idx="109">
                  <c:v>3.7146785736576229</c:v>
                </c:pt>
                <c:pt idx="110">
                  <c:v>3.6770813947302017</c:v>
                </c:pt>
                <c:pt idx="111">
                  <c:v>3.6398409044157374</c:v>
                </c:pt>
                <c:pt idx="112">
                  <c:v>3.6029681378752247</c:v>
                </c:pt>
                <c:pt idx="113">
                  <c:v>3.5664740213051704</c:v>
                </c:pt>
                <c:pt idx="114">
                  <c:v>3.5303693686999207</c:v>
                </c:pt>
                <c:pt idx="115">
                  <c:v>3.4946648786472454</c:v>
                </c:pt>
                <c:pt idx="116">
                  <c:v>3.4593711311581128</c:v>
                </c:pt>
                <c:pt idx="117">
                  <c:v>3.4244985845316052</c:v>
                </c:pt>
                <c:pt idx="118">
                  <c:v>3.3900575722559001</c:v>
                </c:pt>
                <c:pt idx="119">
                  <c:v>3.3560582999462318</c:v>
                </c:pt>
                <c:pt idx="120">
                  <c:v>3.3225108423207494</c:v>
                </c:pt>
                <c:pt idx="121">
                  <c:v>3.2894251402151631</c:v>
                </c:pt>
                <c:pt idx="122">
                  <c:v>3.2568109976370527</c:v>
                </c:pt>
                <c:pt idx="123">
                  <c:v>3.2246780788607365</c:v>
                </c:pt>
                <c:pt idx="124">
                  <c:v>3.1930359055635309</c:v>
                </c:pt>
                <c:pt idx="125">
                  <c:v>3.1618938540042789</c:v>
                </c:pt>
                <c:pt idx="126">
                  <c:v>3.1312611522449596</c:v>
                </c:pt>
                <c:pt idx="127">
                  <c:v>3.1011468774162103</c:v>
                </c:pt>
                <c:pt idx="128">
                  <c:v>3.0715599530275828</c:v>
                </c:pt>
                <c:pt idx="129">
                  <c:v>3.0425091463233112</c:v>
                </c:pt>
                <c:pt idx="130">
                  <c:v>3.0140030656843892</c:v>
                </c:pt>
                <c:pt idx="131">
                  <c:v>2.986050158077723</c:v>
                </c:pt>
                <c:pt idx="132">
                  <c:v>2.9586587065531091</c:v>
                </c:pt>
                <c:pt idx="133">
                  <c:v>2.9318368277887901</c:v>
                </c:pt>
                <c:pt idx="134">
                  <c:v>2.9055924696863076</c:v>
                </c:pt>
                <c:pt idx="135">
                  <c:v>2.8799334090153659</c:v>
                </c:pt>
                <c:pt idx="136">
                  <c:v>2.8548672491094109</c:v>
                </c:pt>
                <c:pt idx="137">
                  <c:v>2.8304014176125953</c:v>
                </c:pt>
                <c:pt idx="138">
                  <c:v>2.8065431642788061</c:v>
                </c:pt>
                <c:pt idx="139">
                  <c:v>2.7832995588234097</c:v>
                </c:pt>
                <c:pt idx="140">
                  <c:v>2.7606774888283407</c:v>
                </c:pt>
                <c:pt idx="141">
                  <c:v>2.7386836577011637</c:v>
                </c:pt>
                <c:pt idx="142">
                  <c:v>2.7173245826887067</c:v>
                </c:pt>
                <c:pt idx="143">
                  <c:v>2.6966065929458622</c:v>
                </c:pt>
                <c:pt idx="144">
                  <c:v>2.676535827660123</c:v>
                </c:pt>
                <c:pt idx="145">
                  <c:v>2.6571182342324038</c:v>
                </c:pt>
                <c:pt idx="146">
                  <c:v>2.6383595665147057</c:v>
                </c:pt>
                <c:pt idx="147">
                  <c:v>2.6202653831051173</c:v>
                </c:pt>
                <c:pt idx="148">
                  <c:v>2.602841045700687</c:v>
                </c:pt>
                <c:pt idx="149">
                  <c:v>2.5860917175086362</c:v>
                </c:pt>
                <c:pt idx="150">
                  <c:v>2.5700223617163882</c:v>
                </c:pt>
                <c:pt idx="151">
                  <c:v>2.55463774002087</c:v>
                </c:pt>
                <c:pt idx="152">
                  <c:v>2.5399424112175164</c:v>
                </c:pt>
                <c:pt idx="153">
                  <c:v>2.5259407298494039</c:v>
                </c:pt>
                <c:pt idx="154">
                  <c:v>2.5126368449169019</c:v>
                </c:pt>
                <c:pt idx="155">
                  <c:v>2.5000346986482374</c:v>
                </c:pt>
                <c:pt idx="156">
                  <c:v>2.4881380253313274</c:v>
                </c:pt>
                <c:pt idx="157">
                  <c:v>2.4769503502072259</c:v>
                </c:pt>
                <c:pt idx="158">
                  <c:v>2.466474988425523</c:v>
                </c:pt>
                <c:pt idx="159">
                  <c:v>2.45671504406199</c:v>
                </c:pt>
                <c:pt idx="160">
                  <c:v>2.4476734091987802</c:v>
                </c:pt>
                <c:pt idx="161">
                  <c:v>2.4393527630674368</c:v>
                </c:pt>
                <c:pt idx="162">
                  <c:v>2.4317555712549836</c:v>
                </c:pt>
                <c:pt idx="163">
                  <c:v>2.4248840849733146</c:v>
                </c:pt>
                <c:pt idx="164">
                  <c:v>2.4187403403921146</c:v>
                </c:pt>
                <c:pt idx="165">
                  <c:v>2.4133261580354954</c:v>
                </c:pt>
                <c:pt idx="166">
                  <c:v>2.4086431422425378</c:v>
                </c:pt>
                <c:pt idx="167">
                  <c:v>2.404692680691888</c:v>
                </c:pt>
                <c:pt idx="168">
                  <c:v>2.4014759439905622</c:v>
                </c:pt>
                <c:pt idx="169">
                  <c:v>2.3989938853270671</c:v>
                </c:pt>
                <c:pt idx="170">
                  <c:v>2.3972472401889524</c:v>
                </c:pt>
                <c:pt idx="171">
                  <c:v>2.3962365261448677</c:v>
                </c:pt>
                <c:pt idx="172">
                  <c:v>2.3959620426911976</c:v>
                </c:pt>
                <c:pt idx="173">
                  <c:v>2.3964238711633139</c:v>
                </c:pt>
                <c:pt idx="174">
                  <c:v>2.3976218747114726</c:v>
                </c:pt>
                <c:pt idx="175">
                  <c:v>2.3995556983413664</c:v>
                </c:pt>
                <c:pt idx="176">
                  <c:v>2.4022247690193201</c:v>
                </c:pt>
                <c:pt idx="177">
                  <c:v>2.4056282958420878</c:v>
                </c:pt>
                <c:pt idx="178">
                  <c:v>2.4097652702712176</c:v>
                </c:pt>
                <c:pt idx="179">
                  <c:v>2.4146344664319037</c:v>
                </c:pt>
                <c:pt idx="180">
                  <c:v>2.4202344414762371</c:v>
                </c:pt>
                <c:pt idx="181">
                  <c:v>2.4265635360107547</c:v>
                </c:pt>
                <c:pt idx="182">
                  <c:v>2.4336198745881537</c:v>
                </c:pt>
                <c:pt idx="183">
                  <c:v>2.4414013662630243</c:v>
                </c:pt>
                <c:pt idx="184">
                  <c:v>2.4499057052114459</c:v>
                </c:pt>
                <c:pt idx="185">
                  <c:v>2.4591303714142487</c:v>
                </c:pt>
                <c:pt idx="186">
                  <c:v>2.4690726314037525</c:v>
                </c:pt>
                <c:pt idx="187">
                  <c:v>2.4797295390737508</c:v>
                </c:pt>
                <c:pt idx="188">
                  <c:v>2.4910979365525061</c:v>
                </c:pt>
                <c:pt idx="189">
                  <c:v>2.5031744551384958</c:v>
                </c:pt>
                <c:pt idx="190">
                  <c:v>2.5159555162986291</c:v>
                </c:pt>
                <c:pt idx="191">
                  <c:v>2.529437332728647</c:v>
                </c:pt>
                <c:pt idx="192">
                  <c:v>2.5436159094753799</c:v>
                </c:pt>
                <c:pt idx="193">
                  <c:v>2.5584870451205397</c:v>
                </c:pt>
                <c:pt idx="194">
                  <c:v>2.5740463330256884</c:v>
                </c:pt>
                <c:pt idx="195">
                  <c:v>2.5902891626380224</c:v>
                </c:pt>
                <c:pt idx="196">
                  <c:v>2.6072107208565796</c:v>
                </c:pt>
                <c:pt idx="197">
                  <c:v>2.624805993458462</c:v>
                </c:pt>
                <c:pt idx="198">
                  <c:v>2.6430697665846612</c:v>
                </c:pt>
                <c:pt idx="199">
                  <c:v>2.6619966282850354</c:v>
                </c:pt>
                <c:pt idx="200">
                  <c:v>2.681580970121987</c:v>
                </c:pt>
                <c:pt idx="201">
                  <c:v>2.7018169888323653</c:v>
                </c:pt>
                <c:pt idx="202">
                  <c:v>2.7226986880470978</c:v>
                </c:pt>
                <c:pt idx="203">
                  <c:v>2.7442198800680417</c:v>
                </c:pt>
                <c:pt idx="204">
                  <c:v>2.7663741877015382</c:v>
                </c:pt>
                <c:pt idx="205">
                  <c:v>2.7891550461481049</c:v>
                </c:pt>
                <c:pt idx="206">
                  <c:v>2.8125557049477323</c:v>
                </c:pt>
                <c:pt idx="207">
                  <c:v>2.8365692299801917</c:v>
                </c:pt>
                <c:pt idx="208">
                  <c:v>2.861188505519761</c:v>
                </c:pt>
                <c:pt idx="209">
                  <c:v>2.8864062363437712</c:v>
                </c:pt>
                <c:pt idx="210">
                  <c:v>2.9122149498943353</c:v>
                </c:pt>
                <c:pt idx="211">
                  <c:v>2.93860699849263</c:v>
                </c:pt>
                <c:pt idx="212">
                  <c:v>2.9655745616050702</c:v>
                </c:pt>
                <c:pt idx="213">
                  <c:v>2.9931096481606962</c:v>
                </c:pt>
                <c:pt idx="214">
                  <c:v>3.0212040989191071</c:v>
                </c:pt>
                <c:pt idx="215">
                  <c:v>3.0498495888882142</c:v>
                </c:pt>
                <c:pt idx="216">
                  <c:v>3.0790376297911197</c:v>
                </c:pt>
                <c:pt idx="217">
                  <c:v>3.1087595725813748</c:v>
                </c:pt>
                <c:pt idx="218">
                  <c:v>3.1390066100058789</c:v>
                </c:pt>
                <c:pt idx="219">
                  <c:v>3.1697697792146591</c:v>
                </c:pt>
                <c:pt idx="220">
                  <c:v>3.2010399644167533</c:v>
                </c:pt>
                <c:pt idx="221">
                  <c:v>3.2328078995814216</c:v>
                </c:pt>
                <c:pt idx="222">
                  <c:v>3.2650641711838664</c:v>
                </c:pt>
                <c:pt idx="223">
                  <c:v>3.2977992209946656</c:v>
                </c:pt>
                <c:pt idx="224">
                  <c:v>3.3310033489120774</c:v>
                </c:pt>
                <c:pt idx="225">
                  <c:v>3.3646667158363979</c:v>
                </c:pt>
                <c:pt idx="226">
                  <c:v>3.3987793465854921</c:v>
                </c:pt>
                <c:pt idx="227">
                  <c:v>3.4333311328506584</c:v>
                </c:pt>
                <c:pt idx="228">
                  <c:v>3.4683118361919383</c:v>
                </c:pt>
                <c:pt idx="229">
                  <c:v>3.5037110910719855</c:v>
                </c:pt>
                <c:pt idx="230">
                  <c:v>3.5395184079275994</c:v>
                </c:pt>
                <c:pt idx="231">
                  <c:v>3.5757231762780131</c:v>
                </c:pt>
                <c:pt idx="232">
                  <c:v>3.6123146678689997</c:v>
                </c:pt>
                <c:pt idx="233">
                  <c:v>3.6492820398518937</c:v>
                </c:pt>
                <c:pt idx="234">
                  <c:v>3.6866143379965512</c:v>
                </c:pt>
                <c:pt idx="235">
                  <c:v>3.7243004999373399</c:v>
                </c:pt>
                <c:pt idx="236">
                  <c:v>3.762329358451141</c:v>
                </c:pt>
                <c:pt idx="237">
                  <c:v>3.800689644766444</c:v>
                </c:pt>
                <c:pt idx="238">
                  <c:v>3.8393699919025353</c:v>
                </c:pt>
                <c:pt idx="239">
                  <c:v>3.8783589380377643</c:v>
                </c:pt>
                <c:pt idx="240">
                  <c:v>3.9176449299059448</c:v>
                </c:pt>
                <c:pt idx="241">
                  <c:v>3.9572163262198226</c:v>
                </c:pt>
                <c:pt idx="242">
                  <c:v>3.9970614011206478</c:v>
                </c:pt>
                <c:pt idx="243">
                  <c:v>4.0371683476528037</c:v>
                </c:pt>
                <c:pt idx="244">
                  <c:v>4.0775252812624503</c:v>
                </c:pt>
                <c:pt idx="245">
                  <c:v>4.1181202433191899</c:v>
                </c:pt>
                <c:pt idx="246">
                  <c:v>4.1589412046596506</c:v>
                </c:pt>
                <c:pt idx="247">
                  <c:v>4.1999760691519974</c:v>
                </c:pt>
                <c:pt idx="248">
                  <c:v>4.2412126772802798</c:v>
                </c:pt>
                <c:pt idx="249">
                  <c:v>4.2826388097475467</c:v>
                </c:pt>
                <c:pt idx="250">
                  <c:v>4.3242421910967037</c:v>
                </c:pt>
                <c:pt idx="251">
                  <c:v>4.3660104933479804</c:v>
                </c:pt>
                <c:pt idx="252">
                  <c:v>4.4079313396519826</c:v>
                </c:pt>
                <c:pt idx="253">
                  <c:v>4.4499923079572303</c:v>
                </c:pt>
                <c:pt idx="254">
                  <c:v>4.4921809346910591</c:v>
                </c:pt>
                <c:pt idx="255">
                  <c:v>4.5344847184528669</c:v>
                </c:pt>
                <c:pt idx="256">
                  <c:v>4.5768911237185339</c:v>
                </c:pt>
                <c:pt idx="257">
                  <c:v>4.6193875845549712</c:v>
                </c:pt>
                <c:pt idx="258">
                  <c:v>4.6619615083436887</c:v>
                </c:pt>
                <c:pt idx="259">
                  <c:v>4.7046002795122437</c:v>
                </c:pt>
                <c:pt idx="260">
                  <c:v>4.7472912632725226</c:v>
                </c:pt>
                <c:pt idx="261">
                  <c:v>4.7900218093646885</c:v>
                </c:pt>
                <c:pt idx="262">
                  <c:v>4.8327792558057308</c:v>
                </c:pt>
                <c:pt idx="263">
                  <c:v>4.8755509326414925</c:v>
                </c:pt>
                <c:pt idx="264">
                  <c:v>4.9183241657010344</c:v>
                </c:pt>
                <c:pt idx="265">
                  <c:v>4.9610862803522835</c:v>
                </c:pt>
                <c:pt idx="266">
                  <c:v>5.0038246052577851</c:v>
                </c:pt>
                <c:pt idx="267">
                  <c:v>5.0465264761294977</c:v>
                </c:pt>
                <c:pt idx="268">
                  <c:v>5.0891792394815045</c:v>
                </c:pt>
                <c:pt idx="269">
                  <c:v>5.1317702563794985</c:v>
                </c:pt>
                <c:pt idx="270">
                  <c:v>5.174286906185988</c:v>
                </c:pt>
                <c:pt idx="271">
                  <c:v>5.2167165903000479</c:v>
                </c:pt>
                <c:pt idx="272">
                  <c:v>5.2590467358905659</c:v>
                </c:pt>
                <c:pt idx="273">
                  <c:v>5.3012647996218494</c:v>
                </c:pt>
                <c:pt idx="274">
                  <c:v>5.3433582713704686</c:v>
                </c:pt>
                <c:pt idx="275">
                  <c:v>5.3853146779322971</c:v>
                </c:pt>
                <c:pt idx="276">
                  <c:v>5.4271215867185765</c:v>
                </c:pt>
                <c:pt idx="277">
                  <c:v>5.4687666094399638</c:v>
                </c:pt>
                <c:pt idx="278">
                  <c:v>5.5102374057774561</c:v>
                </c:pt>
                <c:pt idx="279">
                  <c:v>5.5515216870390836</c:v>
                </c:pt>
                <c:pt idx="280">
                  <c:v>5.5926072198013239</c:v>
                </c:pt>
                <c:pt idx="281">
                  <c:v>5.6334818295341185</c:v>
                </c:pt>
                <c:pt idx="282">
                  <c:v>5.6741334042084564</c:v>
                </c:pt>
                <c:pt idx="283">
                  <c:v>5.7145498978854317</c:v>
                </c:pt>
                <c:pt idx="284">
                  <c:v>5.7547193342857046</c:v>
                </c:pt>
                <c:pt idx="285">
                  <c:v>5.794629810338348</c:v>
                </c:pt>
                <c:pt idx="286">
                  <c:v>5.8342694997079647</c:v>
                </c:pt>
                <c:pt idx="287">
                  <c:v>5.8736266562990984</c:v>
                </c:pt>
                <c:pt idx="288">
                  <c:v>5.9126896177368593</c:v>
                </c:pt>
                <c:pt idx="289">
                  <c:v>5.9514468088227197</c:v>
                </c:pt>
                <c:pt idx="290">
                  <c:v>5.9898867449645179</c:v>
                </c:pt>
                <c:pt idx="291">
                  <c:v>6.0279980355795715</c:v>
                </c:pt>
                <c:pt idx="292">
                  <c:v>6.0657693874699579</c:v>
                </c:pt>
                <c:pt idx="293">
                  <c:v>6.1031896081689467</c:v>
                </c:pt>
                <c:pt idx="294">
                  <c:v>6.1402476092575435</c:v>
                </c:pt>
                <c:pt idx="295">
                  <c:v>6.176932409650254</c:v>
                </c:pt>
                <c:pt idx="296">
                  <c:v>6.2132331388489961</c:v>
                </c:pt>
                <c:pt idx="297">
                  <c:v>6.2491390401642732</c:v>
                </c:pt>
                <c:pt idx="298">
                  <c:v>6.284639473902617</c:v>
                </c:pt>
                <c:pt idx="299">
                  <c:v>6.3197239205193441</c:v>
                </c:pt>
                <c:pt idx="300">
                  <c:v>6.3543819837357409</c:v>
                </c:pt>
                <c:pt idx="301">
                  <c:v>6.3886033936196931</c:v>
                </c:pt>
                <c:pt idx="302">
                  <c:v>6.4223780096288916</c:v>
                </c:pt>
                <c:pt idx="303">
                  <c:v>6.4556958236157014</c:v>
                </c:pt>
                <c:pt idx="304">
                  <c:v>6.4885469627927757</c:v>
                </c:pt>
                <c:pt idx="305">
                  <c:v>6.5209216926585949</c:v>
                </c:pt>
                <c:pt idx="306">
                  <c:v>6.5528104198819941</c:v>
                </c:pt>
                <c:pt idx="307">
                  <c:v>6.5842036951448808</c:v>
                </c:pt>
                <c:pt idx="308">
                  <c:v>6.6150922159422745</c:v>
                </c:pt>
                <c:pt idx="309">
                  <c:v>6.6454668293388313</c:v>
                </c:pt>
                <c:pt idx="310">
                  <c:v>6.6753185346810673</c:v>
                </c:pt>
                <c:pt idx="311">
                  <c:v>6.704638486264435</c:v>
                </c:pt>
                <c:pt idx="312">
                  <c:v>6.7334179959545031</c:v>
                </c:pt>
                <c:pt idx="313">
                  <c:v>6.7616485357614406</c:v>
                </c:pt>
                <c:pt idx="314">
                  <c:v>6.7893217403670345</c:v>
                </c:pt>
                <c:pt idx="315">
                  <c:v>6.8164294096035256</c:v>
                </c:pt>
                <c:pt idx="316">
                  <c:v>6.8429635108834876</c:v>
                </c:pt>
                <c:pt idx="317">
                  <c:v>6.8689161815800572</c:v>
                </c:pt>
                <c:pt idx="318">
                  <c:v>6.8942797313568036</c:v>
                </c:pt>
                <c:pt idx="319">
                  <c:v>6.9190466444465368</c:v>
                </c:pt>
                <c:pt idx="320">
                  <c:v>6.9432095818783957</c:v>
                </c:pt>
                <c:pt idx="321">
                  <c:v>6.9667613836525408</c:v>
                </c:pt>
                <c:pt idx="322">
                  <c:v>6.9896950708618135</c:v>
                </c:pt>
                <c:pt idx="323">
                  <c:v>7.0120038477597486</c:v>
                </c:pt>
                <c:pt idx="324">
                  <c:v>7.0336811037742857</c:v>
                </c:pt>
                <c:pt idx="325">
                  <c:v>7.054720415466635</c:v>
                </c:pt>
                <c:pt idx="326">
                  <c:v>7.0751155484346757</c:v>
                </c:pt>
                <c:pt idx="327">
                  <c:v>7.0948604591603468</c:v>
                </c:pt>
                <c:pt idx="328">
                  <c:v>7.1139492968004712</c:v>
                </c:pt>
                <c:pt idx="329">
                  <c:v>7.1323764049204854</c:v>
                </c:pt>
                <c:pt idx="330">
                  <c:v>7.1501363231705604</c:v>
                </c:pt>
                <c:pt idx="331">
                  <c:v>7.167223788903633</c:v>
                </c:pt>
                <c:pt idx="332">
                  <c:v>7.1836337387348257</c:v>
                </c:pt>
                <c:pt idx="333">
                  <c:v>7.1993613100418496</c:v>
                </c:pt>
                <c:pt idx="334">
                  <c:v>7.2144018424058958</c:v>
                </c:pt>
                <c:pt idx="335">
                  <c:v>7.2287508789926243</c:v>
                </c:pt>
                <c:pt idx="336">
                  <c:v>7.2424041678728184</c:v>
                </c:pt>
                <c:pt idx="337">
                  <c:v>7.255357663282318</c:v>
                </c:pt>
                <c:pt idx="338">
                  <c:v>7.2676075268208766</c:v>
                </c:pt>
                <c:pt idx="339">
                  <c:v>7.2791501285895528</c:v>
                </c:pt>
                <c:pt idx="340">
                  <c:v>7.2899820482663316</c:v>
                </c:pt>
                <c:pt idx="341">
                  <c:v>7.3001000761196435</c:v>
                </c:pt>
                <c:pt idx="342">
                  <c:v>7.3095012139594679</c:v>
                </c:pt>
                <c:pt idx="343">
                  <c:v>7.3181826760257724</c:v>
                </c:pt>
                <c:pt idx="344">
                  <c:v>7.3261418898139832</c:v>
                </c:pt>
                <c:pt idx="345">
                  <c:v>7.3333764968372819</c:v>
                </c:pt>
                <c:pt idx="346">
                  <c:v>7.3398843533254716</c:v>
                </c:pt>
                <c:pt idx="347">
                  <c:v>7.3456635308602243</c:v>
                </c:pt>
                <c:pt idx="348">
                  <c:v>7.3507123169465114</c:v>
                </c:pt>
                <c:pt idx="349">
                  <c:v>7.3550292155200534</c:v>
                </c:pt>
                <c:pt idx="350">
                  <c:v>7.3586129473906361</c:v>
                </c:pt>
                <c:pt idx="351">
                  <c:v>7.3614624506211648</c:v>
                </c:pt>
                <c:pt idx="352">
                  <c:v>7.3635768808423343</c:v>
                </c:pt>
                <c:pt idx="353">
                  <c:v>7.3649556115028361</c:v>
                </c:pt>
                <c:pt idx="354">
                  <c:v>7.365598234055021</c:v>
                </c:pt>
                <c:pt idx="355">
                  <c:v>7.3655045580759566</c:v>
                </c:pt>
                <c:pt idx="356">
                  <c:v>7.3646746113238581</c:v>
                </c:pt>
                <c:pt idx="357">
                  <c:v>7.3631086397298597</c:v>
                </c:pt>
                <c:pt idx="358">
                  <c:v>7.360807107325142</c:v>
                </c:pt>
                <c:pt idx="359">
                  <c:v>7.3577706961034259</c:v>
                </c:pt>
                <c:pt idx="360">
                  <c:v>7.3540003058188894</c:v>
                </c:pt>
                <c:pt idx="361">
                  <c:v>7.349497053719543</c:v>
                </c:pt>
                <c:pt idx="362">
                  <c:v>7.3442622742161756</c:v>
                </c:pt>
                <c:pt idx="363">
                  <c:v>7.3382975184869252</c:v>
                </c:pt>
                <c:pt idx="364">
                  <c:v>7.3316045540176482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BC-4890-893B-6E344844E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6928536"/>
        <c:axId val="846929256"/>
      </c:lineChart>
      <c:catAx>
        <c:axId val="846928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929256"/>
        <c:crosses val="autoZero"/>
        <c:auto val="1"/>
        <c:lblAlgn val="ctr"/>
        <c:lblOffset val="100"/>
        <c:noMultiLvlLbl val="0"/>
      </c:catAx>
      <c:valAx>
        <c:axId val="84692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928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SolarTrain!$A$7:$A$370</c:f>
              <c:numCache>
                <c:formatCode>General</c:formatCode>
                <c:ptCount val="364"/>
                <c:pt idx="0">
                  <c:v>7.46</c:v>
                </c:pt>
                <c:pt idx="1">
                  <c:v>7.7919999999999998</c:v>
                </c:pt>
                <c:pt idx="2">
                  <c:v>8.4160000000000004</c:v>
                </c:pt>
                <c:pt idx="3">
                  <c:v>8.35</c:v>
                </c:pt>
                <c:pt idx="4">
                  <c:v>7.4580000000000002</c:v>
                </c:pt>
                <c:pt idx="5">
                  <c:v>8.3699999999999992</c:v>
                </c:pt>
                <c:pt idx="6">
                  <c:v>8.4</c:v>
                </c:pt>
                <c:pt idx="7">
                  <c:v>8.1720000000000006</c:v>
                </c:pt>
                <c:pt idx="8">
                  <c:v>8.3000000000000007</c:v>
                </c:pt>
                <c:pt idx="9">
                  <c:v>8.0879999999999992</c:v>
                </c:pt>
                <c:pt idx="10">
                  <c:v>7.1719999999999997</c:v>
                </c:pt>
                <c:pt idx="11">
                  <c:v>3.82</c:v>
                </c:pt>
                <c:pt idx="12">
                  <c:v>7.28</c:v>
                </c:pt>
                <c:pt idx="13">
                  <c:v>7.0640000000000001</c:v>
                </c:pt>
                <c:pt idx="14">
                  <c:v>7.5919999999999996</c:v>
                </c:pt>
                <c:pt idx="15">
                  <c:v>8.2159999999999993</c:v>
                </c:pt>
                <c:pt idx="16">
                  <c:v>8.14</c:v>
                </c:pt>
                <c:pt idx="17">
                  <c:v>7.8620000000000001</c:v>
                </c:pt>
                <c:pt idx="18">
                  <c:v>8.0299999999999994</c:v>
                </c:pt>
                <c:pt idx="19">
                  <c:v>2.044</c:v>
                </c:pt>
                <c:pt idx="20">
                  <c:v>7.1980000000000004</c:v>
                </c:pt>
                <c:pt idx="21">
                  <c:v>4.4539999999999997</c:v>
                </c:pt>
                <c:pt idx="22">
                  <c:v>3.194</c:v>
                </c:pt>
                <c:pt idx="23">
                  <c:v>6.4740000000000002</c:v>
                </c:pt>
                <c:pt idx="24">
                  <c:v>7.8659999999999997</c:v>
                </c:pt>
                <c:pt idx="25">
                  <c:v>7.98</c:v>
                </c:pt>
                <c:pt idx="26">
                  <c:v>7.532</c:v>
                </c:pt>
                <c:pt idx="27">
                  <c:v>6.95</c:v>
                </c:pt>
                <c:pt idx="28">
                  <c:v>7.8819999999999997</c:v>
                </c:pt>
                <c:pt idx="29">
                  <c:v>7.76</c:v>
                </c:pt>
                <c:pt idx="30">
                  <c:v>7.7380000000000004</c:v>
                </c:pt>
                <c:pt idx="31">
                  <c:v>7.85</c:v>
                </c:pt>
                <c:pt idx="32">
                  <c:v>7.766</c:v>
                </c:pt>
                <c:pt idx="33">
                  <c:v>7.484</c:v>
                </c:pt>
                <c:pt idx="34">
                  <c:v>7.66</c:v>
                </c:pt>
                <c:pt idx="35">
                  <c:v>7.6740000000000004</c:v>
                </c:pt>
                <c:pt idx="36">
                  <c:v>6.508</c:v>
                </c:pt>
                <c:pt idx="37">
                  <c:v>7.5620000000000003</c:v>
                </c:pt>
                <c:pt idx="38">
                  <c:v>7.5940000000000003</c:v>
                </c:pt>
                <c:pt idx="39">
                  <c:v>7.5640000000000001</c:v>
                </c:pt>
                <c:pt idx="40">
                  <c:v>7.3259999999999996</c:v>
                </c:pt>
                <c:pt idx="41">
                  <c:v>5.41</c:v>
                </c:pt>
                <c:pt idx="42">
                  <c:v>3.6019999999999999</c:v>
                </c:pt>
                <c:pt idx="43">
                  <c:v>5.61</c:v>
                </c:pt>
                <c:pt idx="44">
                  <c:v>6.5640000000000001</c:v>
                </c:pt>
                <c:pt idx="45">
                  <c:v>6.2119999999999997</c:v>
                </c:pt>
                <c:pt idx="46">
                  <c:v>7.19</c:v>
                </c:pt>
                <c:pt idx="47">
                  <c:v>7.1580000000000004</c:v>
                </c:pt>
                <c:pt idx="48">
                  <c:v>7.258</c:v>
                </c:pt>
                <c:pt idx="49">
                  <c:v>5.37</c:v>
                </c:pt>
                <c:pt idx="50">
                  <c:v>3.71</c:v>
                </c:pt>
                <c:pt idx="51">
                  <c:v>5.2519999999999998</c:v>
                </c:pt>
                <c:pt idx="52">
                  <c:v>1.8</c:v>
                </c:pt>
                <c:pt idx="53">
                  <c:v>4.5839999999999996</c:v>
                </c:pt>
                <c:pt idx="54">
                  <c:v>6.2759999999999998</c:v>
                </c:pt>
                <c:pt idx="55">
                  <c:v>6.8920000000000003</c:v>
                </c:pt>
                <c:pt idx="56">
                  <c:v>5.9740000000000002</c:v>
                </c:pt>
                <c:pt idx="57">
                  <c:v>6.8760000000000003</c:v>
                </c:pt>
                <c:pt idx="58">
                  <c:v>5.1680000000000001</c:v>
                </c:pt>
                <c:pt idx="59">
                  <c:v>6.1520000000000001</c:v>
                </c:pt>
                <c:pt idx="60">
                  <c:v>6.5839999999999996</c:v>
                </c:pt>
                <c:pt idx="61">
                  <c:v>5.3780000000000001</c:v>
                </c:pt>
                <c:pt idx="62">
                  <c:v>6.4720000000000004</c:v>
                </c:pt>
                <c:pt idx="63">
                  <c:v>5.202</c:v>
                </c:pt>
                <c:pt idx="64">
                  <c:v>6.1859999999999999</c:v>
                </c:pt>
                <c:pt idx="65">
                  <c:v>5.5119999999999996</c:v>
                </c:pt>
                <c:pt idx="66">
                  <c:v>1.6479999999999999</c:v>
                </c:pt>
                <c:pt idx="67">
                  <c:v>5.2919999999999998</c:v>
                </c:pt>
                <c:pt idx="68">
                  <c:v>6.2380000000000004</c:v>
                </c:pt>
                <c:pt idx="69">
                  <c:v>6.2720000000000002</c:v>
                </c:pt>
                <c:pt idx="70">
                  <c:v>6.2119999999999997</c:v>
                </c:pt>
                <c:pt idx="71">
                  <c:v>6.1920000000000002</c:v>
                </c:pt>
                <c:pt idx="72">
                  <c:v>6.1680000000000001</c:v>
                </c:pt>
                <c:pt idx="73">
                  <c:v>6.1260000000000003</c:v>
                </c:pt>
                <c:pt idx="74">
                  <c:v>5.5880000000000001</c:v>
                </c:pt>
                <c:pt idx="75">
                  <c:v>3.6859999999999999</c:v>
                </c:pt>
                <c:pt idx="76">
                  <c:v>5.8460000000000001</c:v>
                </c:pt>
                <c:pt idx="77">
                  <c:v>5.81</c:v>
                </c:pt>
                <c:pt idx="78">
                  <c:v>5.3760000000000003</c:v>
                </c:pt>
                <c:pt idx="79">
                  <c:v>4.8099999999999996</c:v>
                </c:pt>
                <c:pt idx="80">
                  <c:v>4.3739999999999997</c:v>
                </c:pt>
                <c:pt idx="81">
                  <c:v>2.95</c:v>
                </c:pt>
                <c:pt idx="82">
                  <c:v>5.242</c:v>
                </c:pt>
                <c:pt idx="83">
                  <c:v>5.4039999999999999</c:v>
                </c:pt>
                <c:pt idx="84">
                  <c:v>5.4320000000000004</c:v>
                </c:pt>
                <c:pt idx="85">
                  <c:v>5.4080000000000004</c:v>
                </c:pt>
                <c:pt idx="86">
                  <c:v>2.214</c:v>
                </c:pt>
                <c:pt idx="87">
                  <c:v>1.3919999999999999</c:v>
                </c:pt>
                <c:pt idx="88">
                  <c:v>5.3959999999999999</c:v>
                </c:pt>
                <c:pt idx="89">
                  <c:v>5.3339999999999996</c:v>
                </c:pt>
                <c:pt idx="90">
                  <c:v>5.1340000000000003</c:v>
                </c:pt>
                <c:pt idx="91">
                  <c:v>5.2640000000000002</c:v>
                </c:pt>
                <c:pt idx="92">
                  <c:v>3.73</c:v>
                </c:pt>
                <c:pt idx="93">
                  <c:v>3.8180000000000001</c:v>
                </c:pt>
                <c:pt idx="94">
                  <c:v>4.3659999999999997</c:v>
                </c:pt>
                <c:pt idx="95">
                  <c:v>3.3119999999999998</c:v>
                </c:pt>
                <c:pt idx="96">
                  <c:v>4.58</c:v>
                </c:pt>
                <c:pt idx="97">
                  <c:v>3.516</c:v>
                </c:pt>
                <c:pt idx="98">
                  <c:v>4.9539999999999997</c:v>
                </c:pt>
                <c:pt idx="99">
                  <c:v>4.7</c:v>
                </c:pt>
                <c:pt idx="100">
                  <c:v>2.218</c:v>
                </c:pt>
                <c:pt idx="101">
                  <c:v>2.2679999999999998</c:v>
                </c:pt>
                <c:pt idx="102">
                  <c:v>3.6880000000000002</c:v>
                </c:pt>
                <c:pt idx="103">
                  <c:v>4.5999999999999996</c:v>
                </c:pt>
                <c:pt idx="104">
                  <c:v>3.742</c:v>
                </c:pt>
                <c:pt idx="105">
                  <c:v>4.4800000000000004</c:v>
                </c:pt>
                <c:pt idx="106">
                  <c:v>4.0519999999999996</c:v>
                </c:pt>
                <c:pt idx="107">
                  <c:v>3.0840000000000001</c:v>
                </c:pt>
                <c:pt idx="108">
                  <c:v>4.03</c:v>
                </c:pt>
                <c:pt idx="109">
                  <c:v>2.1150000000000002</c:v>
                </c:pt>
                <c:pt idx="110">
                  <c:v>4.2300000000000004</c:v>
                </c:pt>
                <c:pt idx="111">
                  <c:v>4.3609999999999998</c:v>
                </c:pt>
                <c:pt idx="112">
                  <c:v>4.0960000000000001</c:v>
                </c:pt>
                <c:pt idx="113">
                  <c:v>2.262</c:v>
                </c:pt>
                <c:pt idx="114">
                  <c:v>4.2750000000000004</c:v>
                </c:pt>
                <c:pt idx="115">
                  <c:v>4.2350000000000003</c:v>
                </c:pt>
                <c:pt idx="116">
                  <c:v>4.1449999999999996</c:v>
                </c:pt>
                <c:pt idx="117">
                  <c:v>3.3380000000000001</c:v>
                </c:pt>
                <c:pt idx="118">
                  <c:v>4.0369999999999999</c:v>
                </c:pt>
                <c:pt idx="119">
                  <c:v>4.0679999999999996</c:v>
                </c:pt>
                <c:pt idx="120">
                  <c:v>3.9809999999999999</c:v>
                </c:pt>
                <c:pt idx="121">
                  <c:v>3.585</c:v>
                </c:pt>
                <c:pt idx="122">
                  <c:v>3.3069999999999999</c:v>
                </c:pt>
                <c:pt idx="123">
                  <c:v>3.0339999999999998</c:v>
                </c:pt>
                <c:pt idx="124">
                  <c:v>2.6349999999999998</c:v>
                </c:pt>
                <c:pt idx="125">
                  <c:v>3.754</c:v>
                </c:pt>
                <c:pt idx="126">
                  <c:v>3.633</c:v>
                </c:pt>
                <c:pt idx="127">
                  <c:v>3.6920000000000002</c:v>
                </c:pt>
                <c:pt idx="128">
                  <c:v>3.5750000000000002</c:v>
                </c:pt>
                <c:pt idx="129">
                  <c:v>1.38</c:v>
                </c:pt>
                <c:pt idx="130">
                  <c:v>3.5169999999999999</c:v>
                </c:pt>
                <c:pt idx="131">
                  <c:v>2.202</c:v>
                </c:pt>
                <c:pt idx="132">
                  <c:v>3.2629999999999999</c:v>
                </c:pt>
                <c:pt idx="133">
                  <c:v>3.2509999999999999</c:v>
                </c:pt>
                <c:pt idx="134">
                  <c:v>3.5179999999999998</c:v>
                </c:pt>
                <c:pt idx="135">
                  <c:v>3.2170000000000001</c:v>
                </c:pt>
                <c:pt idx="136">
                  <c:v>2.2400000000000002</c:v>
                </c:pt>
                <c:pt idx="137">
                  <c:v>2.968</c:v>
                </c:pt>
                <c:pt idx="138">
                  <c:v>3.29</c:v>
                </c:pt>
                <c:pt idx="139">
                  <c:v>3.3740000000000001</c:v>
                </c:pt>
                <c:pt idx="140">
                  <c:v>3.1840000000000002</c:v>
                </c:pt>
                <c:pt idx="141">
                  <c:v>3.1760000000000002</c:v>
                </c:pt>
                <c:pt idx="142">
                  <c:v>3.0390000000000001</c:v>
                </c:pt>
                <c:pt idx="143">
                  <c:v>2.665</c:v>
                </c:pt>
                <c:pt idx="144">
                  <c:v>3.28</c:v>
                </c:pt>
                <c:pt idx="145">
                  <c:v>2.8660000000000001</c:v>
                </c:pt>
                <c:pt idx="146">
                  <c:v>2.1280000000000001</c:v>
                </c:pt>
                <c:pt idx="147">
                  <c:v>1.131</c:v>
                </c:pt>
                <c:pt idx="148">
                  <c:v>3.141</c:v>
                </c:pt>
                <c:pt idx="149">
                  <c:v>2.1179999999999999</c:v>
                </c:pt>
                <c:pt idx="150">
                  <c:v>1.7889999999999999</c:v>
                </c:pt>
                <c:pt idx="151">
                  <c:v>2.84</c:v>
                </c:pt>
                <c:pt idx="152">
                  <c:v>2.952</c:v>
                </c:pt>
                <c:pt idx="153">
                  <c:v>3.02</c:v>
                </c:pt>
                <c:pt idx="154">
                  <c:v>3.1160000000000001</c:v>
                </c:pt>
                <c:pt idx="155">
                  <c:v>3.04</c:v>
                </c:pt>
                <c:pt idx="156">
                  <c:v>3.0979999999999999</c:v>
                </c:pt>
                <c:pt idx="157">
                  <c:v>2.7210000000000001</c:v>
                </c:pt>
                <c:pt idx="158">
                  <c:v>1.111</c:v>
                </c:pt>
                <c:pt idx="159">
                  <c:v>2.911</c:v>
                </c:pt>
                <c:pt idx="160">
                  <c:v>2.7749999999999999</c:v>
                </c:pt>
                <c:pt idx="161">
                  <c:v>2.536</c:v>
                </c:pt>
                <c:pt idx="162">
                  <c:v>1.992</c:v>
                </c:pt>
                <c:pt idx="163">
                  <c:v>2.3319999999999999</c:v>
                </c:pt>
                <c:pt idx="164">
                  <c:v>2.8879999999999999</c:v>
                </c:pt>
                <c:pt idx="165">
                  <c:v>2.802</c:v>
                </c:pt>
                <c:pt idx="166">
                  <c:v>2.496</c:v>
                </c:pt>
                <c:pt idx="167">
                  <c:v>2.3359999999999999</c:v>
                </c:pt>
                <c:pt idx="168">
                  <c:v>2.3839999999999999</c:v>
                </c:pt>
                <c:pt idx="169">
                  <c:v>2.8479999999999999</c:v>
                </c:pt>
                <c:pt idx="170">
                  <c:v>2.72</c:v>
                </c:pt>
                <c:pt idx="171">
                  <c:v>2.802</c:v>
                </c:pt>
                <c:pt idx="172">
                  <c:v>2.044</c:v>
                </c:pt>
                <c:pt idx="173">
                  <c:v>1.79</c:v>
                </c:pt>
                <c:pt idx="174">
                  <c:v>1.8480000000000001</c:v>
                </c:pt>
                <c:pt idx="175">
                  <c:v>2.8959999999999999</c:v>
                </c:pt>
                <c:pt idx="176">
                  <c:v>2.9540000000000002</c:v>
                </c:pt>
                <c:pt idx="177">
                  <c:v>3.016</c:v>
                </c:pt>
                <c:pt idx="178">
                  <c:v>1.6719999999999999</c:v>
                </c:pt>
                <c:pt idx="179">
                  <c:v>1.64</c:v>
                </c:pt>
                <c:pt idx="180">
                  <c:v>2.302</c:v>
                </c:pt>
                <c:pt idx="181">
                  <c:v>1.6120000000000001</c:v>
                </c:pt>
                <c:pt idx="182">
                  <c:v>2.3140000000000001</c:v>
                </c:pt>
                <c:pt idx="183">
                  <c:v>2.44</c:v>
                </c:pt>
                <c:pt idx="184">
                  <c:v>1.732</c:v>
                </c:pt>
                <c:pt idx="185">
                  <c:v>2.7480000000000002</c:v>
                </c:pt>
                <c:pt idx="186">
                  <c:v>3.06</c:v>
                </c:pt>
                <c:pt idx="187">
                  <c:v>2.3159999999999998</c:v>
                </c:pt>
                <c:pt idx="188">
                  <c:v>1.788</c:v>
                </c:pt>
                <c:pt idx="189">
                  <c:v>2.7080000000000002</c:v>
                </c:pt>
                <c:pt idx="190">
                  <c:v>2.802</c:v>
                </c:pt>
                <c:pt idx="191">
                  <c:v>2.2959999999999998</c:v>
                </c:pt>
                <c:pt idx="192">
                  <c:v>1.946</c:v>
                </c:pt>
                <c:pt idx="193">
                  <c:v>2.73</c:v>
                </c:pt>
                <c:pt idx="194">
                  <c:v>2.73</c:v>
                </c:pt>
                <c:pt idx="195">
                  <c:v>1.294</c:v>
                </c:pt>
                <c:pt idx="196">
                  <c:v>2.048</c:v>
                </c:pt>
                <c:pt idx="197">
                  <c:v>1.968</c:v>
                </c:pt>
                <c:pt idx="198">
                  <c:v>1.9159999999999999</c:v>
                </c:pt>
                <c:pt idx="199">
                  <c:v>3.206</c:v>
                </c:pt>
                <c:pt idx="200">
                  <c:v>2.7280000000000002</c:v>
                </c:pt>
                <c:pt idx="201">
                  <c:v>2.99</c:v>
                </c:pt>
                <c:pt idx="202">
                  <c:v>3.05</c:v>
                </c:pt>
                <c:pt idx="203">
                  <c:v>3.0459999999999998</c:v>
                </c:pt>
                <c:pt idx="204">
                  <c:v>3.036</c:v>
                </c:pt>
                <c:pt idx="205">
                  <c:v>2.9820000000000002</c:v>
                </c:pt>
                <c:pt idx="206">
                  <c:v>3.3479999999999999</c:v>
                </c:pt>
                <c:pt idx="207">
                  <c:v>1.47</c:v>
                </c:pt>
                <c:pt idx="208">
                  <c:v>3.0920000000000001</c:v>
                </c:pt>
                <c:pt idx="209">
                  <c:v>2.1960000000000002</c:v>
                </c:pt>
                <c:pt idx="210">
                  <c:v>3.0760000000000001</c:v>
                </c:pt>
                <c:pt idx="211">
                  <c:v>3.242</c:v>
                </c:pt>
                <c:pt idx="212">
                  <c:v>2.6739999999999999</c:v>
                </c:pt>
                <c:pt idx="213">
                  <c:v>2.5259999999999998</c:v>
                </c:pt>
                <c:pt idx="214">
                  <c:v>2.6219999999999999</c:v>
                </c:pt>
                <c:pt idx="215">
                  <c:v>3.6240000000000001</c:v>
                </c:pt>
                <c:pt idx="216">
                  <c:v>3.802</c:v>
                </c:pt>
                <c:pt idx="217">
                  <c:v>3.43</c:v>
                </c:pt>
                <c:pt idx="218">
                  <c:v>3.56</c:v>
                </c:pt>
                <c:pt idx="219">
                  <c:v>1.1120000000000001</c:v>
                </c:pt>
                <c:pt idx="220">
                  <c:v>3.484</c:v>
                </c:pt>
                <c:pt idx="221">
                  <c:v>2.75</c:v>
                </c:pt>
                <c:pt idx="222">
                  <c:v>1.1120000000000001</c:v>
                </c:pt>
                <c:pt idx="223">
                  <c:v>3.5880000000000001</c:v>
                </c:pt>
                <c:pt idx="224">
                  <c:v>3.09</c:v>
                </c:pt>
                <c:pt idx="225">
                  <c:v>2.504</c:v>
                </c:pt>
                <c:pt idx="226">
                  <c:v>4.1100000000000003</c:v>
                </c:pt>
                <c:pt idx="227">
                  <c:v>3.8460000000000001</c:v>
                </c:pt>
                <c:pt idx="228">
                  <c:v>1.1120000000000001</c:v>
                </c:pt>
                <c:pt idx="229">
                  <c:v>2.35</c:v>
                </c:pt>
                <c:pt idx="230">
                  <c:v>4.0720000000000001</c:v>
                </c:pt>
                <c:pt idx="231">
                  <c:v>4.2759999999999998</c:v>
                </c:pt>
                <c:pt idx="232">
                  <c:v>3.6240000000000001</c:v>
                </c:pt>
                <c:pt idx="233">
                  <c:v>3.7120000000000002</c:v>
                </c:pt>
                <c:pt idx="234">
                  <c:v>3.556</c:v>
                </c:pt>
                <c:pt idx="235">
                  <c:v>4.5119999999999996</c:v>
                </c:pt>
                <c:pt idx="236">
                  <c:v>2.444</c:v>
                </c:pt>
                <c:pt idx="237">
                  <c:v>4.29</c:v>
                </c:pt>
                <c:pt idx="238">
                  <c:v>4.3120000000000003</c:v>
                </c:pt>
                <c:pt idx="239">
                  <c:v>3.2719999999999998</c:v>
                </c:pt>
                <c:pt idx="240">
                  <c:v>4.4820000000000002</c:v>
                </c:pt>
                <c:pt idx="241">
                  <c:v>4.1539999999999999</c:v>
                </c:pt>
                <c:pt idx="242">
                  <c:v>4.54</c:v>
                </c:pt>
                <c:pt idx="243">
                  <c:v>4.0860000000000003</c:v>
                </c:pt>
                <c:pt idx="244">
                  <c:v>4.7640000000000002</c:v>
                </c:pt>
                <c:pt idx="245">
                  <c:v>4.2539999999999996</c:v>
                </c:pt>
                <c:pt idx="246">
                  <c:v>4.6639999999999997</c:v>
                </c:pt>
                <c:pt idx="247">
                  <c:v>4.4059999999999997</c:v>
                </c:pt>
                <c:pt idx="248">
                  <c:v>5.0949999999999998</c:v>
                </c:pt>
                <c:pt idx="249">
                  <c:v>4.9509999999999996</c:v>
                </c:pt>
                <c:pt idx="250">
                  <c:v>5.26</c:v>
                </c:pt>
                <c:pt idx="251">
                  <c:v>4.2240000000000002</c:v>
                </c:pt>
                <c:pt idx="252">
                  <c:v>4.5720000000000001</c:v>
                </c:pt>
                <c:pt idx="253">
                  <c:v>4.141</c:v>
                </c:pt>
                <c:pt idx="254">
                  <c:v>4.3959999999999999</c:v>
                </c:pt>
                <c:pt idx="255">
                  <c:v>3.516</c:v>
                </c:pt>
                <c:pt idx="256">
                  <c:v>4.6260000000000003</c:v>
                </c:pt>
                <c:pt idx="257">
                  <c:v>5.1829999999999998</c:v>
                </c:pt>
                <c:pt idx="258">
                  <c:v>3.9510000000000001</c:v>
                </c:pt>
                <c:pt idx="259">
                  <c:v>4.1360000000000001</c:v>
                </c:pt>
                <c:pt idx="260">
                  <c:v>5.4279999999999999</c:v>
                </c:pt>
                <c:pt idx="261">
                  <c:v>5.2450000000000001</c:v>
                </c:pt>
                <c:pt idx="262">
                  <c:v>5.7619999999999996</c:v>
                </c:pt>
                <c:pt idx="263">
                  <c:v>5.7009999999999996</c:v>
                </c:pt>
                <c:pt idx="264">
                  <c:v>4.6890000000000001</c:v>
                </c:pt>
                <c:pt idx="265">
                  <c:v>5.7320000000000002</c:v>
                </c:pt>
                <c:pt idx="266">
                  <c:v>5.1829999999999998</c:v>
                </c:pt>
                <c:pt idx="267">
                  <c:v>4.6749999999999998</c:v>
                </c:pt>
                <c:pt idx="268">
                  <c:v>4.9729999999999999</c:v>
                </c:pt>
                <c:pt idx="269">
                  <c:v>4.9290000000000003</c:v>
                </c:pt>
                <c:pt idx="270">
                  <c:v>6.0369999999999999</c:v>
                </c:pt>
                <c:pt idx="271">
                  <c:v>5.5789999999999997</c:v>
                </c:pt>
                <c:pt idx="272">
                  <c:v>5.4889999999999999</c:v>
                </c:pt>
                <c:pt idx="273">
                  <c:v>1.603</c:v>
                </c:pt>
                <c:pt idx="274">
                  <c:v>6.141</c:v>
                </c:pt>
                <c:pt idx="275">
                  <c:v>5.3559999999999999</c:v>
                </c:pt>
                <c:pt idx="276">
                  <c:v>4.1950000000000003</c:v>
                </c:pt>
                <c:pt idx="277">
                  <c:v>4.4180000000000001</c:v>
                </c:pt>
                <c:pt idx="278">
                  <c:v>5.9169999999999998</c:v>
                </c:pt>
                <c:pt idx="279">
                  <c:v>5.8840000000000003</c:v>
                </c:pt>
                <c:pt idx="280">
                  <c:v>4.0709999999999997</c:v>
                </c:pt>
                <c:pt idx="281">
                  <c:v>5.4210000000000003</c:v>
                </c:pt>
                <c:pt idx="282">
                  <c:v>6.6769999999999996</c:v>
                </c:pt>
                <c:pt idx="283">
                  <c:v>6.2140000000000004</c:v>
                </c:pt>
                <c:pt idx="284">
                  <c:v>6.141</c:v>
                </c:pt>
                <c:pt idx="285">
                  <c:v>6.5270000000000001</c:v>
                </c:pt>
                <c:pt idx="286">
                  <c:v>6.7320000000000002</c:v>
                </c:pt>
                <c:pt idx="287">
                  <c:v>6.8239999999999998</c:v>
                </c:pt>
                <c:pt idx="288">
                  <c:v>5.4219999999999997</c:v>
                </c:pt>
                <c:pt idx="289">
                  <c:v>6.0659999999999998</c:v>
                </c:pt>
                <c:pt idx="290">
                  <c:v>5.444</c:v>
                </c:pt>
                <c:pt idx="291">
                  <c:v>7.0330000000000004</c:v>
                </c:pt>
                <c:pt idx="292">
                  <c:v>6.9160000000000004</c:v>
                </c:pt>
                <c:pt idx="293">
                  <c:v>6.9039999999999999</c:v>
                </c:pt>
                <c:pt idx="294">
                  <c:v>6.96</c:v>
                </c:pt>
                <c:pt idx="295">
                  <c:v>7.0270000000000001</c:v>
                </c:pt>
                <c:pt idx="296">
                  <c:v>6.9390000000000001</c:v>
                </c:pt>
                <c:pt idx="297">
                  <c:v>6.9710000000000001</c:v>
                </c:pt>
                <c:pt idx="298">
                  <c:v>7.0419999999999998</c:v>
                </c:pt>
                <c:pt idx="299">
                  <c:v>6.9219999999999997</c:v>
                </c:pt>
                <c:pt idx="300">
                  <c:v>7.2939999999999996</c:v>
                </c:pt>
                <c:pt idx="301">
                  <c:v>7.15</c:v>
                </c:pt>
                <c:pt idx="302">
                  <c:v>7.4080000000000004</c:v>
                </c:pt>
                <c:pt idx="303">
                  <c:v>7.319</c:v>
                </c:pt>
                <c:pt idx="304">
                  <c:v>6.62</c:v>
                </c:pt>
                <c:pt idx="305">
                  <c:v>5.1379999999999999</c:v>
                </c:pt>
                <c:pt idx="306">
                  <c:v>7.3209999999999997</c:v>
                </c:pt>
                <c:pt idx="307">
                  <c:v>6.6189999999999998</c:v>
                </c:pt>
                <c:pt idx="308">
                  <c:v>6.2329999999999997</c:v>
                </c:pt>
                <c:pt idx="309">
                  <c:v>7.1390000000000002</c:v>
                </c:pt>
                <c:pt idx="310">
                  <c:v>5.351</c:v>
                </c:pt>
                <c:pt idx="311">
                  <c:v>6.5449999999999999</c:v>
                </c:pt>
                <c:pt idx="312">
                  <c:v>7.468</c:v>
                </c:pt>
                <c:pt idx="313">
                  <c:v>7.5519999999999996</c:v>
                </c:pt>
                <c:pt idx="314">
                  <c:v>7.4470000000000001</c:v>
                </c:pt>
                <c:pt idx="315">
                  <c:v>5.3449999999999998</c:v>
                </c:pt>
                <c:pt idx="316">
                  <c:v>7.5970000000000004</c:v>
                </c:pt>
                <c:pt idx="317">
                  <c:v>7.0270000000000001</c:v>
                </c:pt>
                <c:pt idx="318">
                  <c:v>4.8140000000000001</c:v>
                </c:pt>
                <c:pt idx="319">
                  <c:v>7.258</c:v>
                </c:pt>
                <c:pt idx="320">
                  <c:v>6.77</c:v>
                </c:pt>
                <c:pt idx="321">
                  <c:v>7.4269999999999996</c:v>
                </c:pt>
                <c:pt idx="322">
                  <c:v>4.5069999999999997</c:v>
                </c:pt>
                <c:pt idx="323">
                  <c:v>7.4829999999999997</c:v>
                </c:pt>
                <c:pt idx="324">
                  <c:v>6.6559999999999997</c:v>
                </c:pt>
                <c:pt idx="325">
                  <c:v>6.95</c:v>
                </c:pt>
                <c:pt idx="326">
                  <c:v>8.0220000000000002</c:v>
                </c:pt>
                <c:pt idx="327">
                  <c:v>7.5220000000000002</c:v>
                </c:pt>
                <c:pt idx="328">
                  <c:v>8.0739999999999998</c:v>
                </c:pt>
                <c:pt idx="329">
                  <c:v>7.9630000000000001</c:v>
                </c:pt>
                <c:pt idx="330">
                  <c:v>6.0140000000000002</c:v>
                </c:pt>
                <c:pt idx="331">
                  <c:v>6.657</c:v>
                </c:pt>
                <c:pt idx="332">
                  <c:v>7.7460000000000004</c:v>
                </c:pt>
                <c:pt idx="333">
                  <c:v>7.9960000000000004</c:v>
                </c:pt>
                <c:pt idx="334">
                  <c:v>8.1720000000000006</c:v>
                </c:pt>
                <c:pt idx="335">
                  <c:v>7.1760000000000002</c:v>
                </c:pt>
                <c:pt idx="336">
                  <c:v>6.673</c:v>
                </c:pt>
                <c:pt idx="337">
                  <c:v>8.3059999999999992</c:v>
                </c:pt>
                <c:pt idx="338">
                  <c:v>7.36</c:v>
                </c:pt>
                <c:pt idx="339">
                  <c:v>8.3450000000000006</c:v>
                </c:pt>
                <c:pt idx="340">
                  <c:v>8.3539999999999992</c:v>
                </c:pt>
                <c:pt idx="341">
                  <c:v>8.0359999999999996</c:v>
                </c:pt>
                <c:pt idx="342">
                  <c:v>5.9550000000000001</c:v>
                </c:pt>
                <c:pt idx="343">
                  <c:v>3.1560000000000001</c:v>
                </c:pt>
                <c:pt idx="344">
                  <c:v>6.8840000000000003</c:v>
                </c:pt>
                <c:pt idx="345">
                  <c:v>7.7039999999999997</c:v>
                </c:pt>
                <c:pt idx="346">
                  <c:v>7.44</c:v>
                </c:pt>
                <c:pt idx="347">
                  <c:v>6.0179999999999998</c:v>
                </c:pt>
                <c:pt idx="348">
                  <c:v>8.2880000000000003</c:v>
                </c:pt>
                <c:pt idx="349">
                  <c:v>7.3769999999999998</c:v>
                </c:pt>
                <c:pt idx="350">
                  <c:v>7.89</c:v>
                </c:pt>
                <c:pt idx="351">
                  <c:v>7.915</c:v>
                </c:pt>
                <c:pt idx="352">
                  <c:v>5.9509999999999996</c:v>
                </c:pt>
                <c:pt idx="353">
                  <c:v>7.0919999999999996</c:v>
                </c:pt>
                <c:pt idx="354">
                  <c:v>8.3520000000000003</c:v>
                </c:pt>
                <c:pt idx="355">
                  <c:v>8.3320000000000007</c:v>
                </c:pt>
                <c:pt idx="356">
                  <c:v>8.3919999999999995</c:v>
                </c:pt>
                <c:pt idx="357">
                  <c:v>7.62</c:v>
                </c:pt>
                <c:pt idx="358">
                  <c:v>6.1920000000000002</c:v>
                </c:pt>
                <c:pt idx="359">
                  <c:v>2.1480000000000001</c:v>
                </c:pt>
                <c:pt idx="360">
                  <c:v>8.27</c:v>
                </c:pt>
                <c:pt idx="361">
                  <c:v>4.6820000000000004</c:v>
                </c:pt>
                <c:pt idx="362">
                  <c:v>3.4460000000000002</c:v>
                </c:pt>
                <c:pt idx="363">
                  <c:v>6.33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60-47B4-8E93-D240E4C790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SolarTrain!$H$7:$H$370</c:f>
              <c:numCache>
                <c:formatCode>General</c:formatCode>
                <c:ptCount val="364"/>
                <c:pt idx="0">
                  <c:v>7.448394451882038</c:v>
                </c:pt>
                <c:pt idx="1">
                  <c:v>7.3361416361943057</c:v>
                </c:pt>
                <c:pt idx="2">
                  <c:v>7.3951398220895417</c:v>
                </c:pt>
                <c:pt idx="3">
                  <c:v>7.5123169209395275</c:v>
                </c:pt>
                <c:pt idx="4">
                  <c:v>7.49009701345999</c:v>
                </c:pt>
                <c:pt idx="5">
                  <c:v>7.301119548975513</c:v>
                </c:pt>
                <c:pt idx="6">
                  <c:v>7.4745433446344798</c:v>
                </c:pt>
                <c:pt idx="7">
                  <c:v>7.4699481845743003</c:v>
                </c:pt>
                <c:pt idx="8">
                  <c:v>7.4128860190371384</c:v>
                </c:pt>
                <c:pt idx="9">
                  <c:v>7.4268969634364321</c:v>
                </c:pt>
                <c:pt idx="10">
                  <c:v>7.3719492973744636</c:v>
                </c:pt>
                <c:pt idx="11">
                  <c:v>7.1748098636112783</c:v>
                </c:pt>
                <c:pt idx="12">
                  <c:v>6.4870040669852527</c:v>
                </c:pt>
                <c:pt idx="13">
                  <c:v>7.1692334732856455</c:v>
                </c:pt>
                <c:pt idx="14">
                  <c:v>7.1113166080774448</c:v>
                </c:pt>
                <c:pt idx="15">
                  <c:v>7.2025617554788735</c:v>
                </c:pt>
                <c:pt idx="16">
                  <c:v>7.3125957568919135</c:v>
                </c:pt>
                <c:pt idx="17">
                  <c:v>7.2812680096862223</c:v>
                </c:pt>
                <c:pt idx="18">
                  <c:v>7.208780865836836</c:v>
                </c:pt>
                <c:pt idx="19">
                  <c:v>7.2255168305160486</c:v>
                </c:pt>
                <c:pt idx="20">
                  <c:v>6.0035609606399163</c:v>
                </c:pt>
                <c:pt idx="21">
                  <c:v>7.0224712633697708</c:v>
                </c:pt>
                <c:pt idx="22">
                  <c:v>6.4518074945692305</c:v>
                </c:pt>
                <c:pt idx="23">
                  <c:v>6.1792335572171488</c:v>
                </c:pt>
                <c:pt idx="24">
                  <c:v>6.8196222997769533</c:v>
                </c:pt>
                <c:pt idx="25">
                  <c:v>7.0796659145228844</c:v>
                </c:pt>
                <c:pt idx="26">
                  <c:v>7.0821023358236301</c:v>
                </c:pt>
                <c:pt idx="27">
                  <c:v>6.9709968383838312</c:v>
                </c:pt>
                <c:pt idx="28">
                  <c:v>6.8324692354440248</c:v>
                </c:pt>
                <c:pt idx="29">
                  <c:v>6.9981034769395203</c:v>
                </c:pt>
                <c:pt idx="30">
                  <c:v>6.9512244476187828</c:v>
                </c:pt>
                <c:pt idx="31">
                  <c:v>6.9240235651218596</c:v>
                </c:pt>
                <c:pt idx="32">
                  <c:v>6.9233483780194227</c:v>
                </c:pt>
                <c:pt idx="33">
                  <c:v>6.8828097638130394</c:v>
                </c:pt>
                <c:pt idx="34">
                  <c:v>6.802012326897203</c:v>
                </c:pt>
                <c:pt idx="35">
                  <c:v>6.812950396483787</c:v>
                </c:pt>
                <c:pt idx="36">
                  <c:v>6.7908872244895084</c:v>
                </c:pt>
                <c:pt idx="37">
                  <c:v>6.5310085833870213</c:v>
                </c:pt>
                <c:pt idx="38">
                  <c:v>6.7174019640203024</c:v>
                </c:pt>
                <c:pt idx="39">
                  <c:v>6.6977845733849399</c:v>
                </c:pt>
                <c:pt idx="40">
                  <c:v>6.6653161323740324</c:v>
                </c:pt>
                <c:pt idx="41">
                  <c:v>6.5906292734903102</c:v>
                </c:pt>
                <c:pt idx="42">
                  <c:v>6.1779679385251978</c:v>
                </c:pt>
                <c:pt idx="43">
                  <c:v>5.7866833762054926</c:v>
                </c:pt>
                <c:pt idx="44">
                  <c:v>6.1628333398083521</c:v>
                </c:pt>
                <c:pt idx="45">
                  <c:v>6.3265820847452998</c:v>
                </c:pt>
                <c:pt idx="46">
                  <c:v>6.2272355661159722</c:v>
                </c:pt>
                <c:pt idx="47">
                  <c:v>6.3951654362323209</c:v>
                </c:pt>
                <c:pt idx="48">
                  <c:v>6.359572242114008</c:v>
                </c:pt>
                <c:pt idx="49">
                  <c:v>6.3502350229557427</c:v>
                </c:pt>
                <c:pt idx="50">
                  <c:v>5.9406185075673008</c:v>
                </c:pt>
                <c:pt idx="51">
                  <c:v>5.5765907117869897</c:v>
                </c:pt>
                <c:pt idx="52">
                  <c:v>5.8565293358693236</c:v>
                </c:pt>
                <c:pt idx="53">
                  <c:v>5.1314081618476903</c:v>
                </c:pt>
                <c:pt idx="54">
                  <c:v>5.6607122508727743</c:v>
                </c:pt>
                <c:pt idx="55">
                  <c:v>5.9700571405275502</c:v>
                </c:pt>
                <c:pt idx="56">
                  <c:v>6.0626712421196123</c:v>
                </c:pt>
                <c:pt idx="57">
                  <c:v>5.8464142379516701</c:v>
                </c:pt>
                <c:pt idx="58">
                  <c:v>5.9961202785709995</c:v>
                </c:pt>
                <c:pt idx="59">
                  <c:v>5.6204827799986754</c:v>
                </c:pt>
                <c:pt idx="60">
                  <c:v>5.7862736209394017</c:v>
                </c:pt>
                <c:pt idx="61">
                  <c:v>5.8408095399727609</c:v>
                </c:pt>
                <c:pt idx="62">
                  <c:v>5.5655969327267378</c:v>
                </c:pt>
                <c:pt idx="63">
                  <c:v>5.7529710490343149</c:v>
                </c:pt>
                <c:pt idx="64">
                  <c:v>5.464544790074032</c:v>
                </c:pt>
                <c:pt idx="65">
                  <c:v>5.6294695054953072</c:v>
                </c:pt>
                <c:pt idx="66">
                  <c:v>5.4606605905294074</c:v>
                </c:pt>
                <c:pt idx="67">
                  <c:v>4.649889483086918</c:v>
                </c:pt>
                <c:pt idx="68">
                  <c:v>5.3496036608425461</c:v>
                </c:pt>
                <c:pt idx="69">
                  <c:v>5.5063658383081577</c:v>
                </c:pt>
                <c:pt idx="70">
                  <c:v>5.4795291638948962</c:v>
                </c:pt>
                <c:pt idx="71">
                  <c:v>5.4336852169652481</c:v>
                </c:pt>
                <c:pt idx="72">
                  <c:v>5.3958048048759482</c:v>
                </c:pt>
                <c:pt idx="73">
                  <c:v>5.3570451600125804</c:v>
                </c:pt>
                <c:pt idx="74">
                  <c:v>5.3145995368167647</c:v>
                </c:pt>
                <c:pt idx="75">
                  <c:v>5.1723044088068111</c:v>
                </c:pt>
                <c:pt idx="76">
                  <c:v>4.7555282655927167</c:v>
                </c:pt>
                <c:pt idx="77">
                  <c:v>5.1559924098864007</c:v>
                </c:pt>
                <c:pt idx="78">
                  <c:v>5.1145973545080476</c:v>
                </c:pt>
                <c:pt idx="79">
                  <c:v>4.9931108193894636</c:v>
                </c:pt>
                <c:pt idx="80">
                  <c:v>4.8450621285753215</c:v>
                </c:pt>
                <c:pt idx="81">
                  <c:v>4.7231758072231873</c:v>
                </c:pt>
                <c:pt idx="82">
                  <c:v>4.4025203786032181</c:v>
                </c:pt>
                <c:pt idx="83">
                  <c:v>4.8295507610984183</c:v>
                </c:pt>
                <c:pt idx="84">
                  <c:v>4.8280618652063465</c:v>
                </c:pt>
                <c:pt idx="85">
                  <c:v>4.7996589905431506</c:v>
                </c:pt>
                <c:pt idx="86">
                  <c:v>4.7608506228508434</c:v>
                </c:pt>
                <c:pt idx="87">
                  <c:v>4.0843052310086687</c:v>
                </c:pt>
                <c:pt idx="88">
                  <c:v>3.8850832640494843</c:v>
                </c:pt>
                <c:pt idx="89">
                  <c:v>4.6569395481820113</c:v>
                </c:pt>
                <c:pt idx="90">
                  <c:v>4.6108136838198552</c:v>
                </c:pt>
                <c:pt idx="91">
                  <c:v>4.5370292426181624</c:v>
                </c:pt>
                <c:pt idx="92">
                  <c:v>4.5297577645188101</c:v>
                </c:pt>
                <c:pt idx="93">
                  <c:v>4.1878163548049843</c:v>
                </c:pt>
                <c:pt idx="94">
                  <c:v>4.1723580811660268</c:v>
                </c:pt>
                <c:pt idx="95">
                  <c:v>4.2495983707734348</c:v>
                </c:pt>
                <c:pt idx="96">
                  <c:v>4.004672607368847</c:v>
                </c:pt>
                <c:pt idx="97">
                  <c:v>4.2270993283649201</c:v>
                </c:pt>
                <c:pt idx="98">
                  <c:v>3.9805034219599142</c:v>
                </c:pt>
                <c:pt idx="99">
                  <c:v>4.2374953242668782</c:v>
                </c:pt>
                <c:pt idx="100">
                  <c:v>4.1542518164582578</c:v>
                </c:pt>
                <c:pt idx="101">
                  <c:v>3.6229392219267829</c:v>
                </c:pt>
                <c:pt idx="102">
                  <c:v>3.6012790034634938</c:v>
                </c:pt>
                <c:pt idx="103">
                  <c:v>3.855486160453697</c:v>
                </c:pt>
                <c:pt idx="104">
                  <c:v>4.0077164260917346</c:v>
                </c:pt>
                <c:pt idx="105">
                  <c:v>3.8040646646153546</c:v>
                </c:pt>
                <c:pt idx="106">
                  <c:v>3.9217792685605137</c:v>
                </c:pt>
                <c:pt idx="107">
                  <c:v>3.8051549560374363</c:v>
                </c:pt>
                <c:pt idx="108">
                  <c:v>3.5801519680287175</c:v>
                </c:pt>
                <c:pt idx="109">
                  <c:v>3.7405240657102881</c:v>
                </c:pt>
                <c:pt idx="110">
                  <c:v>3.3255501277960207</c:v>
                </c:pt>
                <c:pt idx="111">
                  <c:v>3.7217081479067784</c:v>
                </c:pt>
                <c:pt idx="112">
                  <c:v>3.7189900319646751</c:v>
                </c:pt>
                <c:pt idx="113">
                  <c:v>3.6369099956133204</c:v>
                </c:pt>
                <c:pt idx="114">
                  <c:v>3.2394689616648211</c:v>
                </c:pt>
                <c:pt idx="115">
                  <c:v>3.6163745575742872</c:v>
                </c:pt>
                <c:pt idx="116">
                  <c:v>3.580555112942593</c:v>
                </c:pt>
                <c:pt idx="117">
                  <c:v>3.5350224570481412</c:v>
                </c:pt>
                <c:pt idx="118">
                  <c:v>3.345584316408345</c:v>
                </c:pt>
                <c:pt idx="119">
                  <c:v>3.4595163123715675</c:v>
                </c:pt>
                <c:pt idx="120">
                  <c:v>3.439417558740228</c:v>
                </c:pt>
                <c:pt idx="121">
                  <c:v>3.3959558594257619</c:v>
                </c:pt>
                <c:pt idx="122">
                  <c:v>3.2907097061361616</c:v>
                </c:pt>
                <c:pt idx="123">
                  <c:v>3.2095990760967505</c:v>
                </c:pt>
                <c:pt idx="124">
                  <c:v>3.1298958298048967</c:v>
                </c:pt>
                <c:pt idx="125">
                  <c:v>3.0252501088192987</c:v>
                </c:pt>
                <c:pt idx="126">
                  <c:v>3.2264419335845242</c:v>
                </c:pt>
                <c:pt idx="127">
                  <c:v>3.1785688012914415</c:v>
                </c:pt>
                <c:pt idx="128">
                  <c:v>3.1673416837741617</c:v>
                </c:pt>
                <c:pt idx="129">
                  <c:v>3.1211402254441389</c:v>
                </c:pt>
                <c:pt idx="130">
                  <c:v>2.6572887412620236</c:v>
                </c:pt>
                <c:pt idx="131">
                  <c:v>3.0654858147478712</c:v>
                </c:pt>
                <c:pt idx="132">
                  <c:v>2.7795970960303045</c:v>
                </c:pt>
                <c:pt idx="133">
                  <c:v>2.9722224999352029</c:v>
                </c:pt>
                <c:pt idx="134">
                  <c:v>2.9494294041144808</c:v>
                </c:pt>
                <c:pt idx="135">
                  <c:v>2.9832462472155195</c:v>
                </c:pt>
                <c:pt idx="136">
                  <c:v>2.903262527091782</c:v>
                </c:pt>
                <c:pt idx="137">
                  <c:v>2.687754399055152</c:v>
                </c:pt>
                <c:pt idx="138">
                  <c:v>2.8157846741705139</c:v>
                </c:pt>
                <c:pt idx="139">
                  <c:v>2.8626256175930709</c:v>
                </c:pt>
                <c:pt idx="140">
                  <c:v>2.8620841469489018</c:v>
                </c:pt>
                <c:pt idx="141">
                  <c:v>2.8069222307592328</c:v>
                </c:pt>
                <c:pt idx="142">
                  <c:v>2.7888920869088945</c:v>
                </c:pt>
                <c:pt idx="143">
                  <c:v>2.7454253811594156</c:v>
                </c:pt>
                <c:pt idx="144">
                  <c:v>2.654797225707187</c:v>
                </c:pt>
                <c:pt idx="145">
                  <c:v>2.7636833777871459</c:v>
                </c:pt>
                <c:pt idx="146">
                  <c:v>2.6660666383223584</c:v>
                </c:pt>
                <c:pt idx="147">
                  <c:v>2.5037972506199373</c:v>
                </c:pt>
                <c:pt idx="148">
                  <c:v>2.2899572991136581</c:v>
                </c:pt>
                <c:pt idx="149">
                  <c:v>2.6816699081536508</c:v>
                </c:pt>
                <c:pt idx="150">
                  <c:v>2.4636908408435327</c:v>
                </c:pt>
                <c:pt idx="151">
                  <c:v>2.3858960979253174</c:v>
                </c:pt>
                <c:pt idx="152">
                  <c:v>2.5863123167124393</c:v>
                </c:pt>
                <c:pt idx="153">
                  <c:v>2.5983599700712019</c:v>
                </c:pt>
                <c:pt idx="154">
                  <c:v>2.6021161654509566</c:v>
                </c:pt>
                <c:pt idx="155">
                  <c:v>2.6120702439633021</c:v>
                </c:pt>
                <c:pt idx="156">
                  <c:v>2.5879849795105629</c:v>
                </c:pt>
                <c:pt idx="157">
                  <c:v>2.5914301779638294</c:v>
                </c:pt>
                <c:pt idx="158">
                  <c:v>2.507925476390775</c:v>
                </c:pt>
                <c:pt idx="159">
                  <c:v>2.176915542333508</c:v>
                </c:pt>
                <c:pt idx="160">
                  <c:v>2.5325740731366424</c:v>
                </c:pt>
                <c:pt idx="161">
                  <c:v>2.4992877953258152</c:v>
                </c:pt>
                <c:pt idx="162">
                  <c:v>2.4458580640368117</c:v>
                </c:pt>
                <c:pt idx="163">
                  <c:v>2.3316440624954837</c:v>
                </c:pt>
                <c:pt idx="164">
                  <c:v>2.3958740015486018</c:v>
                </c:pt>
                <c:pt idx="165">
                  <c:v>2.5041475192457963</c:v>
                </c:pt>
                <c:pt idx="166">
                  <c:v>2.4838360804726896</c:v>
                </c:pt>
                <c:pt idx="167">
                  <c:v>2.4198469766353545</c:v>
                </c:pt>
                <c:pt idx="168">
                  <c:v>2.3858201253961662</c:v>
                </c:pt>
                <c:pt idx="169">
                  <c:v>2.3942304704611463</c:v>
                </c:pt>
                <c:pt idx="170">
                  <c:v>2.4869279814188503</c:v>
                </c:pt>
                <c:pt idx="171">
                  <c:v>2.4611032536308501</c:v>
                </c:pt>
                <c:pt idx="172">
                  <c:v>2.4781187081738452</c:v>
                </c:pt>
                <c:pt idx="173">
                  <c:v>2.326714191833414</c:v>
                </c:pt>
                <c:pt idx="174">
                  <c:v>2.277302177149418</c:v>
                </c:pt>
                <c:pt idx="175">
                  <c:v>2.2912517625130371</c:v>
                </c:pt>
                <c:pt idx="176">
                  <c:v>2.5049758723154008</c:v>
                </c:pt>
                <c:pt idx="177">
                  <c:v>2.5200976571477893</c:v>
                </c:pt>
                <c:pt idx="178">
                  <c:v>2.5366088940533347</c:v>
                </c:pt>
                <c:pt idx="179">
                  <c:v>2.2708163868301381</c:v>
                </c:pt>
                <c:pt idx="180">
                  <c:v>2.2695803663857359</c:v>
                </c:pt>
                <c:pt idx="181">
                  <c:v>2.4085576911427897</c:v>
                </c:pt>
                <c:pt idx="182">
                  <c:v>2.276091447495888</c:v>
                </c:pt>
                <c:pt idx="183">
                  <c:v>2.4242725503193254</c:v>
                </c:pt>
                <c:pt idx="184">
                  <c:v>2.457137343525706</c:v>
                </c:pt>
                <c:pt idx="185">
                  <c:v>2.3227740006752056</c:v>
                </c:pt>
                <c:pt idx="186">
                  <c:v>2.5358497256353156</c:v>
                </c:pt>
                <c:pt idx="187">
                  <c:v>2.6078483532908674</c:v>
                </c:pt>
                <c:pt idx="188">
                  <c:v>2.4679447503041314</c:v>
                </c:pt>
                <c:pt idx="189">
                  <c:v>2.3720624159247636</c:v>
                </c:pt>
                <c:pt idx="190">
                  <c:v>2.5680766828493629</c:v>
                </c:pt>
                <c:pt idx="191">
                  <c:v>2.5984555181303759</c:v>
                </c:pt>
                <c:pt idx="192">
                  <c:v>2.5086667241340934</c:v>
                </c:pt>
                <c:pt idx="193">
                  <c:v>2.450813939547436</c:v>
                </c:pt>
                <c:pt idx="194">
                  <c:v>2.621667040433254</c:v>
                </c:pt>
                <c:pt idx="195">
                  <c:v>2.6353205413338094</c:v>
                </c:pt>
                <c:pt idx="196">
                  <c:v>2.3605879964221184</c:v>
                </c:pt>
                <c:pt idx="197">
                  <c:v>2.5270164007008185</c:v>
                </c:pt>
                <c:pt idx="198">
                  <c:v>2.5261725912482014</c:v>
                </c:pt>
                <c:pt idx="199">
                  <c:v>2.5314864485110378</c:v>
                </c:pt>
                <c:pt idx="200">
                  <c:v>2.8073300976438214</c:v>
                </c:pt>
                <c:pt idx="201">
                  <c:v>2.7279667098940261</c:v>
                </c:pt>
                <c:pt idx="202">
                  <c:v>2.7980009040329659</c:v>
                </c:pt>
                <c:pt idx="203">
                  <c:v>2.8278971478318482</c:v>
                </c:pt>
                <c:pt idx="204">
                  <c:v>2.8454157595825555</c:v>
                </c:pt>
                <c:pt idx="205">
                  <c:v>2.8622209096627338</c:v>
                </c:pt>
                <c:pt idx="206">
                  <c:v>2.8706614221447078</c:v>
                </c:pt>
                <c:pt idx="207">
                  <c:v>2.9640883764477466</c:v>
                </c:pt>
                <c:pt idx="208">
                  <c:v>2.6064991090331953</c:v>
                </c:pt>
                <c:pt idx="209">
                  <c:v>2.9535804151419685</c:v>
                </c:pt>
                <c:pt idx="210">
                  <c:v>2.7945045505738899</c:v>
                </c:pt>
                <c:pt idx="211">
                  <c:v>2.9932180335083531</c:v>
                </c:pt>
                <c:pt idx="212">
                  <c:v>3.0487264463657562</c:v>
                </c:pt>
                <c:pt idx="213">
                  <c:v>2.9569992377091752</c:v>
                </c:pt>
                <c:pt idx="214">
                  <c:v>2.9502145241856899</c:v>
                </c:pt>
                <c:pt idx="215">
                  <c:v>2.9929542925068109</c:v>
                </c:pt>
                <c:pt idx="216">
                  <c:v>3.2184060014674016</c:v>
                </c:pt>
                <c:pt idx="217">
                  <c:v>3.2784865840025064</c:v>
                </c:pt>
                <c:pt idx="218">
                  <c:v>3.2283176492814762</c:v>
                </c:pt>
                <c:pt idx="219">
                  <c:v>3.2795542848387638</c:v>
                </c:pt>
                <c:pt idx="220">
                  <c:v>2.8124930587407708</c:v>
                </c:pt>
                <c:pt idx="221">
                  <c:v>3.3156040217880842</c:v>
                </c:pt>
                <c:pt idx="222">
                  <c:v>3.1941683097524716</c:v>
                </c:pt>
                <c:pt idx="223">
                  <c:v>2.8912205456479505</c:v>
                </c:pt>
                <c:pt idx="224">
                  <c:v>3.4163744420352877</c:v>
                </c:pt>
                <c:pt idx="225">
                  <c:v>3.3435164033592089</c:v>
                </c:pt>
                <c:pt idx="226">
                  <c:v>3.2533015283176576</c:v>
                </c:pt>
                <c:pt idx="227">
                  <c:v>3.6044576122623857</c:v>
                </c:pt>
                <c:pt idx="228">
                  <c:v>3.5797019496301674</c:v>
                </c:pt>
                <c:pt idx="229">
                  <c:v>3.0583061364039161</c:v>
                </c:pt>
                <c:pt idx="230">
                  <c:v>3.3363920726029801</c:v>
                </c:pt>
                <c:pt idx="231">
                  <c:v>3.7121655648018637</c:v>
                </c:pt>
                <c:pt idx="232">
                  <c:v>3.7828155286766507</c:v>
                </c:pt>
                <c:pt idx="233">
                  <c:v>3.6815275915783503</c:v>
                </c:pt>
                <c:pt idx="234">
                  <c:v>3.7294080951324338</c:v>
                </c:pt>
                <c:pt idx="235">
                  <c:v>3.7284672978637481</c:v>
                </c:pt>
                <c:pt idx="236">
                  <c:v>3.9515233778460743</c:v>
                </c:pt>
                <c:pt idx="237">
                  <c:v>3.5664040353755269</c:v>
                </c:pt>
                <c:pt idx="238">
                  <c:v>3.9690256956669741</c:v>
                </c:pt>
                <c:pt idx="239">
                  <c:v>4.0048935115727469</c:v>
                </c:pt>
                <c:pt idx="240">
                  <c:v>3.8273125663227465</c:v>
                </c:pt>
                <c:pt idx="241">
                  <c:v>4.1026478762852197</c:v>
                </c:pt>
                <c:pt idx="242">
                  <c:v>4.0687443937473295</c:v>
                </c:pt>
                <c:pt idx="243">
                  <c:v>4.1786950097147058</c:v>
                </c:pt>
                <c:pt idx="244">
                  <c:v>4.1198253567291854</c:v>
                </c:pt>
                <c:pt idx="245">
                  <c:v>4.2888922117038293</c:v>
                </c:pt>
                <c:pt idx="246">
                  <c:v>4.2191018987744755</c:v>
                </c:pt>
                <c:pt idx="247">
                  <c:v>4.3345742921668977</c:v>
                </c:pt>
                <c:pt idx="248">
                  <c:v>4.315794019078754</c:v>
                </c:pt>
                <c:pt idx="249">
                  <c:v>4.4876892625754969</c:v>
                </c:pt>
                <c:pt idx="250">
                  <c:v>4.4921141644993234</c:v>
                </c:pt>
                <c:pt idx="251">
                  <c:v>4.5878020283903691</c:v>
                </c:pt>
                <c:pt idx="252">
                  <c:v>4.4129853224192512</c:v>
                </c:pt>
                <c:pt idx="253">
                  <c:v>4.5167288823300646</c:v>
                </c:pt>
                <c:pt idx="254">
                  <c:v>4.4638271143930259</c:v>
                </c:pt>
                <c:pt idx="255">
                  <c:v>4.5490279983658173</c:v>
                </c:pt>
                <c:pt idx="256">
                  <c:v>4.4059362904628019</c:v>
                </c:pt>
                <c:pt idx="257">
                  <c:v>4.6632919263312287</c:v>
                </c:pt>
                <c:pt idx="258">
                  <c:v>4.8094332240334934</c:v>
                </c:pt>
                <c:pt idx="259">
                  <c:v>4.5956668870346595</c:v>
                </c:pt>
                <c:pt idx="260">
                  <c:v>4.6670300071942572</c:v>
                </c:pt>
                <c:pt idx="261">
                  <c:v>4.9611404677615552</c:v>
                </c:pt>
                <c:pt idx="262">
                  <c:v>4.9584897463733792</c:v>
                </c:pt>
                <c:pt idx="263">
                  <c:v>5.0966777180535656</c:v>
                </c:pt>
                <c:pt idx="264">
                  <c:v>5.1185606582132355</c:v>
                </c:pt>
                <c:pt idx="265">
                  <c:v>4.9490808456509052</c:v>
                </c:pt>
                <c:pt idx="266">
                  <c:v>5.1930353655516317</c:v>
                </c:pt>
                <c:pt idx="267">
                  <c:v>5.1166377124842493</c:v>
                </c:pt>
                <c:pt idx="268">
                  <c:v>5.0484373933958198</c:v>
                </c:pt>
                <c:pt idx="269">
                  <c:v>5.1423423306024327</c:v>
                </c:pt>
                <c:pt idx="270">
                  <c:v>5.1673648647754273</c:v>
                </c:pt>
                <c:pt idx="271">
                  <c:v>5.4240877579221962</c:v>
                </c:pt>
                <c:pt idx="272">
                  <c:v>5.3656393963606677</c:v>
                </c:pt>
                <c:pt idx="273">
                  <c:v>5.3811305936865521</c:v>
                </c:pt>
                <c:pt idx="274">
                  <c:v>4.6327545937325585</c:v>
                </c:pt>
                <c:pt idx="275">
                  <c:v>5.5791654735185983</c:v>
                </c:pt>
                <c:pt idx="276">
                  <c:v>5.4544569461921864</c:v>
                </c:pt>
                <c:pt idx="277">
                  <c:v>5.2539555639581357</c:v>
                </c:pt>
                <c:pt idx="278">
                  <c:v>5.3317635209966596</c:v>
                </c:pt>
                <c:pt idx="279">
                  <c:v>5.6661414563690604</c:v>
                </c:pt>
                <c:pt idx="280">
                  <c:v>5.6921100569100922</c:v>
                </c:pt>
                <c:pt idx="281">
                  <c:v>5.3597620601061919</c:v>
                </c:pt>
                <c:pt idx="282">
                  <c:v>5.6636194569586902</c:v>
                </c:pt>
                <c:pt idx="283">
                  <c:v>5.9483642948311557</c:v>
                </c:pt>
                <c:pt idx="284">
                  <c:v>5.8870370802800647</c:v>
                </c:pt>
                <c:pt idx="285">
                  <c:v>5.9039591818678891</c:v>
                </c:pt>
                <c:pt idx="286">
                  <c:v>6.0130040329578556</c:v>
                </c:pt>
                <c:pt idx="287">
                  <c:v>6.0853943344894805</c:v>
                </c:pt>
                <c:pt idx="288">
                  <c:v>6.1348024577340636</c:v>
                </c:pt>
                <c:pt idx="289">
                  <c:v>5.8833620470293866</c:v>
                </c:pt>
                <c:pt idx="290">
                  <c:v>6.0433120224927102</c:v>
                </c:pt>
                <c:pt idx="291">
                  <c:v>5.9482689827113484</c:v>
                </c:pt>
                <c:pt idx="292">
                  <c:v>6.297796407409991</c:v>
                </c:pt>
                <c:pt idx="293">
                  <c:v>6.3037850600939516</c:v>
                </c:pt>
                <c:pt idx="294">
                  <c:v>6.3305993906676363</c:v>
                </c:pt>
                <c:pt idx="295">
                  <c:v>6.370786338027365</c:v>
                </c:pt>
                <c:pt idx="296">
                  <c:v>6.4128689326278554</c:v>
                </c:pt>
                <c:pt idx="297">
                  <c:v>6.4234394990215655</c:v>
                </c:pt>
                <c:pt idx="298">
                  <c:v>6.4578196583701377</c:v>
                </c:pt>
                <c:pt idx="299">
                  <c:v>6.4997039309272484</c:v>
                </c:pt>
                <c:pt idx="300">
                  <c:v>6.5028081384920622</c:v>
                </c:pt>
                <c:pt idx="301">
                  <c:v>6.6045438068326092</c:v>
                </c:pt>
                <c:pt idx="302">
                  <c:v>6.6020933680783687</c:v>
                </c:pt>
                <c:pt idx="303">
                  <c:v>6.6801505630812965</c:v>
                </c:pt>
                <c:pt idx="304">
                  <c:v>6.6880088437446883</c:v>
                </c:pt>
                <c:pt idx="305">
                  <c:v>6.5727449753190852</c:v>
                </c:pt>
                <c:pt idx="306">
                  <c:v>6.2995438386646239</c:v>
                </c:pt>
                <c:pt idx="307">
                  <c:v>6.7633356324791247</c:v>
                </c:pt>
                <c:pt idx="308">
                  <c:v>6.6462530754912459</c:v>
                </c:pt>
                <c:pt idx="309">
                  <c:v>6.5923302086180939</c:v>
                </c:pt>
                <c:pt idx="310">
                  <c:v>6.7979311970866041</c:v>
                </c:pt>
                <c:pt idx="311">
                  <c:v>6.4610659325180988</c:v>
                </c:pt>
                <c:pt idx="312">
                  <c:v>6.7237388349753946</c:v>
                </c:pt>
                <c:pt idx="313">
                  <c:v>6.9314396549718325</c:v>
                </c:pt>
                <c:pt idx="314">
                  <c:v>6.9698802754416782</c:v>
                </c:pt>
                <c:pt idx="315">
                  <c:v>6.9698343136712584</c:v>
                </c:pt>
                <c:pt idx="316">
                  <c:v>6.5675259231902992</c:v>
                </c:pt>
                <c:pt idx="317">
                  <c:v>7.0407701956228959</c:v>
                </c:pt>
                <c:pt idx="318">
                  <c:v>6.9457499624975476</c:v>
                </c:pt>
                <c:pt idx="319">
                  <c:v>6.5196741970157523</c:v>
                </c:pt>
                <c:pt idx="320">
                  <c:v>7.0300972157786079</c:v>
                </c:pt>
                <c:pt idx="321">
                  <c:v>6.9501066804709222</c:v>
                </c:pt>
                <c:pt idx="322">
                  <c:v>7.0999895995023516</c:v>
                </c:pt>
                <c:pt idx="323">
                  <c:v>6.5296743296050241</c:v>
                </c:pt>
                <c:pt idx="324">
                  <c:v>7.1451233773872485</c:v>
                </c:pt>
                <c:pt idx="325">
                  <c:v>6.9948930008427883</c:v>
                </c:pt>
                <c:pt idx="326">
                  <c:v>7.0696872108152897</c:v>
                </c:pt>
                <c:pt idx="327">
                  <c:v>7.3004897724174098</c:v>
                </c:pt>
                <c:pt idx="328">
                  <c:v>7.2144762064042309</c:v>
                </c:pt>
                <c:pt idx="329">
                  <c:v>7.3395909905005583</c:v>
                </c:pt>
                <c:pt idx="330">
                  <c:v>7.3307719606817159</c:v>
                </c:pt>
                <c:pt idx="331">
                  <c:v>6.9516051124074147</c:v>
                </c:pt>
                <c:pt idx="332">
                  <c:v>7.0934026018084024</c:v>
                </c:pt>
                <c:pt idx="333">
                  <c:v>7.3243855468254759</c:v>
                </c:pt>
                <c:pt idx="334">
                  <c:v>7.386008428300558</c:v>
                </c:pt>
                <c:pt idx="335">
                  <c:v>7.4321858910195022</c:v>
                </c:pt>
                <c:pt idx="336">
                  <c:v>7.241997144706307</c:v>
                </c:pt>
                <c:pt idx="337">
                  <c:v>7.1504371649684746</c:v>
                </c:pt>
                <c:pt idx="338">
                  <c:v>7.4880746941931919</c:v>
                </c:pt>
                <c:pt idx="339">
                  <c:v>7.3062490423941133</c:v>
                </c:pt>
                <c:pt idx="340">
                  <c:v>7.5123696880084578</c:v>
                </c:pt>
                <c:pt idx="341">
                  <c:v>7.5215458786441953</c:v>
                </c:pt>
                <c:pt idx="342">
                  <c:v>7.4643542317771274</c:v>
                </c:pt>
                <c:pt idx="343">
                  <c:v>7.0518695353975982</c:v>
                </c:pt>
                <c:pt idx="344">
                  <c:v>6.4943439486067085</c:v>
                </c:pt>
                <c:pt idx="345">
                  <c:v>7.2494698021618103</c:v>
                </c:pt>
                <c:pt idx="346">
                  <c:v>7.4189235989711397</c:v>
                </c:pt>
                <c:pt idx="347">
                  <c:v>7.3696928145374345</c:v>
                </c:pt>
                <c:pt idx="348">
                  <c:v>7.086887497350415</c:v>
                </c:pt>
                <c:pt idx="349">
                  <c:v>7.5463266692280015</c:v>
                </c:pt>
                <c:pt idx="350">
                  <c:v>7.3651619256061691</c:v>
                </c:pt>
                <c:pt idx="351">
                  <c:v>7.4699186357773559</c:v>
                </c:pt>
                <c:pt idx="352">
                  <c:v>7.4759019430773588</c:v>
                </c:pt>
                <c:pt idx="353">
                  <c:v>7.0811103650206499</c:v>
                </c:pt>
                <c:pt idx="354">
                  <c:v>7.3104565933840862</c:v>
                </c:pt>
                <c:pt idx="355">
                  <c:v>7.5631574942389754</c:v>
                </c:pt>
                <c:pt idx="356">
                  <c:v>7.5577345079314995</c:v>
                </c:pt>
                <c:pt idx="357">
                  <c:v>7.5678200490114937</c:v>
                </c:pt>
                <c:pt idx="358">
                  <c:v>7.4099203061096075</c:v>
                </c:pt>
                <c:pt idx="359">
                  <c:v>7.11944724176288</c:v>
                </c:pt>
                <c:pt idx="360">
                  <c:v>6.3020497921887824</c:v>
                </c:pt>
                <c:pt idx="361">
                  <c:v>7.5294674670078034</c:v>
                </c:pt>
                <c:pt idx="362">
                  <c:v>6.8026503489146304</c:v>
                </c:pt>
                <c:pt idx="363">
                  <c:v>6.5484742932980788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60-47B4-8E93-D240E4C79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811888"/>
        <c:axId val="906812968"/>
      </c:lineChart>
      <c:catAx>
        <c:axId val="9068118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812968"/>
        <c:crosses val="autoZero"/>
        <c:auto val="1"/>
        <c:lblAlgn val="ctr"/>
        <c:lblOffset val="100"/>
        <c:noMultiLvlLbl val="0"/>
      </c:catAx>
      <c:valAx>
        <c:axId val="906812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81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419100</xdr:colOff>
      <xdr:row>7</xdr:row>
      <xdr:rowOff>95250</xdr:rowOff>
    </xdr:from>
    <xdr:to>
      <xdr:col>18</xdr:col>
      <xdr:colOff>57150</xdr:colOff>
      <xdr:row>27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0B626C7-CF53-C842-D8DE-2BED78C85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434975</xdr:colOff>
      <xdr:row>4</xdr:row>
      <xdr:rowOff>171450</xdr:rowOff>
    </xdr:from>
    <xdr:to>
      <xdr:col>16</xdr:col>
      <xdr:colOff>130175</xdr:colOff>
      <xdr:row>19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6890D-E309-278D-558D-5C568D5EEE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9525</xdr:colOff>
      <xdr:row>13</xdr:row>
      <xdr:rowOff>158750</xdr:rowOff>
    </xdr:from>
    <xdr:to>
      <xdr:col>16</xdr:col>
      <xdr:colOff>314325</xdr:colOff>
      <xdr:row>28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085ABFE-BE8D-4FCA-0130-E7976310F8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434975</xdr:colOff>
      <xdr:row>10</xdr:row>
      <xdr:rowOff>95250</xdr:rowOff>
    </xdr:from>
    <xdr:to>
      <xdr:col>13</xdr:col>
      <xdr:colOff>130175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FD7E6A-91C3-034A-FA21-9D46D81572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4</xdr:row>
      <xdr:rowOff>146050</xdr:rowOff>
    </xdr:from>
    <xdr:to>
      <xdr:col>18</xdr:col>
      <xdr:colOff>142875</xdr:colOff>
      <xdr:row>19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14D6DA-E099-0BA9-EAAB-18B6F4EE6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BBF5C-CEC3-4B7B-983D-E11157BF3B74}">
  <dimension ref="A1:B731"/>
  <sheetViews>
    <sheetView tabSelected="1" workbookViewId="0">
      <selection activeCell="U19" sqref="U19"/>
    </sheetView>
  </sheetViews>
  <sheetFormatPr defaultRowHeight="15" x14ac:dyDescent="0.25"/>
  <cols>
    <col min="2" max="2" width="11.7109375" bestFit="1" customWidth="1"/>
  </cols>
  <sheetData>
    <row r="1" spans="1:2" ht="15.75" x14ac:dyDescent="0.25">
      <c r="A1" s="1" t="s">
        <v>1</v>
      </c>
      <c r="B1" s="1" t="s">
        <v>0</v>
      </c>
    </row>
    <row r="2" spans="1:2" x14ac:dyDescent="0.25">
      <c r="A2">
        <v>7.9820000000000002</v>
      </c>
      <c r="B2">
        <v>14.75</v>
      </c>
    </row>
    <row r="3" spans="1:2" x14ac:dyDescent="0.25">
      <c r="A3">
        <v>7.46</v>
      </c>
      <c r="B3">
        <v>14.43125</v>
      </c>
    </row>
    <row r="4" spans="1:2" x14ac:dyDescent="0.25">
      <c r="A4">
        <v>7.7919999999999998</v>
      </c>
      <c r="B4">
        <v>15.59375</v>
      </c>
    </row>
    <row r="5" spans="1:2" x14ac:dyDescent="0.25">
      <c r="A5">
        <v>8.4160000000000004</v>
      </c>
      <c r="B5">
        <v>17.824999999999999</v>
      </c>
    </row>
    <row r="6" spans="1:2" x14ac:dyDescent="0.25">
      <c r="A6">
        <v>8.35</v>
      </c>
      <c r="B6">
        <v>18.137499999999999</v>
      </c>
    </row>
    <row r="7" spans="1:2" x14ac:dyDescent="0.25">
      <c r="A7">
        <v>7.4580000000000002</v>
      </c>
      <c r="B7">
        <v>20.918749999999999</v>
      </c>
    </row>
    <row r="8" spans="1:2" x14ac:dyDescent="0.25">
      <c r="A8">
        <v>8.3699999999999992</v>
      </c>
      <c r="B8">
        <v>24.037500000000001</v>
      </c>
    </row>
    <row r="9" spans="1:2" x14ac:dyDescent="0.25">
      <c r="A9">
        <v>8.4</v>
      </c>
      <c r="B9">
        <v>27.975000000000001</v>
      </c>
    </row>
    <row r="10" spans="1:2" x14ac:dyDescent="0.25">
      <c r="A10">
        <v>8.1720000000000006</v>
      </c>
      <c r="B10">
        <v>31.618749999999999</v>
      </c>
    </row>
    <row r="11" spans="1:2" x14ac:dyDescent="0.25">
      <c r="A11">
        <v>8.3000000000000007</v>
      </c>
      <c r="B11">
        <v>27.806249999999999</v>
      </c>
    </row>
    <row r="12" spans="1:2" x14ac:dyDescent="0.25">
      <c r="A12">
        <v>8.0879999999999992</v>
      </c>
      <c r="B12">
        <v>21.681249999999999</v>
      </c>
    </row>
    <row r="13" spans="1:2" x14ac:dyDescent="0.25">
      <c r="A13">
        <v>7.1719999999999997</v>
      </c>
      <c r="B13">
        <v>19.912500000000001</v>
      </c>
    </row>
    <row r="14" spans="1:2" x14ac:dyDescent="0.25">
      <c r="A14">
        <v>3.82</v>
      </c>
      <c r="B14">
        <v>18.2</v>
      </c>
    </row>
    <row r="15" spans="1:2" x14ac:dyDescent="0.25">
      <c r="A15">
        <v>7.28</v>
      </c>
      <c r="B15">
        <v>20.893750000000001</v>
      </c>
    </row>
    <row r="16" spans="1:2" x14ac:dyDescent="0.25">
      <c r="A16">
        <v>7.0640000000000001</v>
      </c>
      <c r="B16">
        <v>25.231249999999999</v>
      </c>
    </row>
    <row r="17" spans="1:2" x14ac:dyDescent="0.25">
      <c r="A17">
        <v>7.5919999999999996</v>
      </c>
      <c r="B17">
        <v>28.524999999999999</v>
      </c>
    </row>
    <row r="18" spans="1:2" x14ac:dyDescent="0.25">
      <c r="A18">
        <v>8.2159999999999993</v>
      </c>
      <c r="B18">
        <v>27.862500000000001</v>
      </c>
    </row>
    <row r="19" spans="1:2" x14ac:dyDescent="0.25">
      <c r="A19">
        <v>8.14</v>
      </c>
      <c r="B19">
        <v>20.824999999999999</v>
      </c>
    </row>
    <row r="20" spans="1:2" x14ac:dyDescent="0.25">
      <c r="A20">
        <v>7.8620000000000001</v>
      </c>
      <c r="B20">
        <v>24.09375</v>
      </c>
    </row>
    <row r="21" spans="1:2" x14ac:dyDescent="0.25">
      <c r="A21">
        <v>8.0299999999999994</v>
      </c>
      <c r="B21">
        <v>23.45</v>
      </c>
    </row>
    <row r="22" spans="1:2" x14ac:dyDescent="0.25">
      <c r="A22">
        <v>2.044</v>
      </c>
      <c r="B22">
        <v>20.975000000000001</v>
      </c>
    </row>
    <row r="23" spans="1:2" x14ac:dyDescent="0.25">
      <c r="A23">
        <v>7.1980000000000004</v>
      </c>
      <c r="B23">
        <v>22.206250000000001</v>
      </c>
    </row>
    <row r="24" spans="1:2" x14ac:dyDescent="0.25">
      <c r="A24">
        <v>4.4539999999999997</v>
      </c>
      <c r="B24">
        <v>28.84375</v>
      </c>
    </row>
    <row r="25" spans="1:2" x14ac:dyDescent="0.25">
      <c r="A25">
        <v>3.194</v>
      </c>
      <c r="B25">
        <v>22.131250000000001</v>
      </c>
    </row>
    <row r="26" spans="1:2" x14ac:dyDescent="0.25">
      <c r="A26">
        <v>6.4740000000000002</v>
      </c>
      <c r="B26">
        <v>21.318750000000001</v>
      </c>
    </row>
    <row r="27" spans="1:2" x14ac:dyDescent="0.25">
      <c r="A27">
        <v>7.8659999999999997</v>
      </c>
      <c r="B27">
        <v>22.681249999999999</v>
      </c>
    </row>
    <row r="28" spans="1:2" x14ac:dyDescent="0.25">
      <c r="A28">
        <v>7.98</v>
      </c>
      <c r="B28">
        <v>23.59375</v>
      </c>
    </row>
    <row r="29" spans="1:2" x14ac:dyDescent="0.25">
      <c r="A29">
        <v>7.532</v>
      </c>
      <c r="B29">
        <v>24.306249999999999</v>
      </c>
    </row>
    <row r="30" spans="1:2" x14ac:dyDescent="0.25">
      <c r="A30">
        <v>6.95</v>
      </c>
      <c r="B30">
        <v>28.862500000000001</v>
      </c>
    </row>
    <row r="31" spans="1:2" x14ac:dyDescent="0.25">
      <c r="A31">
        <v>7.8819999999999997</v>
      </c>
      <c r="B31">
        <v>28.875</v>
      </c>
    </row>
    <row r="32" spans="1:2" x14ac:dyDescent="0.25">
      <c r="A32">
        <v>7.76</v>
      </c>
      <c r="B32">
        <v>27.46875</v>
      </c>
    </row>
    <row r="33" spans="1:2" x14ac:dyDescent="0.25">
      <c r="A33">
        <v>7.7380000000000004</v>
      </c>
      <c r="B33">
        <v>22.868749999999999</v>
      </c>
    </row>
    <row r="34" spans="1:2" x14ac:dyDescent="0.25">
      <c r="A34">
        <v>7.85</v>
      </c>
      <c r="B34">
        <v>24.725000000000001</v>
      </c>
    </row>
    <row r="35" spans="1:2" x14ac:dyDescent="0.25">
      <c r="A35">
        <v>7.766</v>
      </c>
      <c r="B35">
        <v>27.393750000000001</v>
      </c>
    </row>
    <row r="36" spans="1:2" x14ac:dyDescent="0.25">
      <c r="A36">
        <v>7.484</v>
      </c>
      <c r="B36">
        <v>28.21875</v>
      </c>
    </row>
    <row r="37" spans="1:2" x14ac:dyDescent="0.25">
      <c r="A37">
        <v>7.66</v>
      </c>
      <c r="B37">
        <v>32.037500000000001</v>
      </c>
    </row>
    <row r="38" spans="1:2" x14ac:dyDescent="0.25">
      <c r="A38">
        <v>7.6740000000000004</v>
      </c>
      <c r="B38">
        <v>34.225000000000001</v>
      </c>
    </row>
    <row r="39" spans="1:2" x14ac:dyDescent="0.25">
      <c r="A39">
        <v>6.508</v>
      </c>
      <c r="B39">
        <v>32.006259999999997</v>
      </c>
    </row>
    <row r="40" spans="1:2" x14ac:dyDescent="0.25">
      <c r="A40">
        <v>7.5620000000000003</v>
      </c>
      <c r="B40">
        <v>34.543750000000003</v>
      </c>
    </row>
    <row r="41" spans="1:2" x14ac:dyDescent="0.25">
      <c r="A41">
        <v>7.5940000000000003</v>
      </c>
      <c r="B41">
        <v>34.387500000000003</v>
      </c>
    </row>
    <row r="42" spans="1:2" x14ac:dyDescent="0.25">
      <c r="A42">
        <v>7.5640000000000001</v>
      </c>
      <c r="B42">
        <v>28.293749999999999</v>
      </c>
    </row>
    <row r="43" spans="1:2" x14ac:dyDescent="0.25">
      <c r="A43">
        <v>7.3259999999999996</v>
      </c>
      <c r="B43">
        <v>27.125</v>
      </c>
    </row>
    <row r="44" spans="1:2" x14ac:dyDescent="0.25">
      <c r="A44">
        <v>5.41</v>
      </c>
      <c r="B44">
        <v>28.081250000000001</v>
      </c>
    </row>
    <row r="45" spans="1:2" x14ac:dyDescent="0.25">
      <c r="A45">
        <v>3.6019999999999999</v>
      </c>
      <c r="B45">
        <v>26.743749999999999</v>
      </c>
    </row>
    <row r="46" spans="1:2" x14ac:dyDescent="0.25">
      <c r="A46">
        <v>5.61</v>
      </c>
      <c r="B46">
        <v>29.787500000000001</v>
      </c>
    </row>
    <row r="47" spans="1:2" x14ac:dyDescent="0.25">
      <c r="A47">
        <v>6.5640000000000001</v>
      </c>
      <c r="B47">
        <v>24.606249999999999</v>
      </c>
    </row>
    <row r="48" spans="1:2" x14ac:dyDescent="0.25">
      <c r="A48">
        <v>6.2119999999999997</v>
      </c>
      <c r="B48">
        <v>18.893750000000001</v>
      </c>
    </row>
    <row r="49" spans="1:2" x14ac:dyDescent="0.25">
      <c r="A49">
        <v>7.19</v>
      </c>
      <c r="B49">
        <v>19.131250000000001</v>
      </c>
    </row>
    <row r="50" spans="1:2" x14ac:dyDescent="0.25">
      <c r="A50">
        <v>7.1580000000000004</v>
      </c>
      <c r="B50">
        <v>24.431249999999999</v>
      </c>
    </row>
    <row r="51" spans="1:2" x14ac:dyDescent="0.25">
      <c r="A51">
        <v>7.258</v>
      </c>
      <c r="B51">
        <v>19.868749999999999</v>
      </c>
    </row>
    <row r="52" spans="1:2" x14ac:dyDescent="0.25">
      <c r="A52">
        <v>5.37</v>
      </c>
      <c r="B52">
        <v>17.918749999999999</v>
      </c>
    </row>
    <row r="53" spans="1:2" x14ac:dyDescent="0.25">
      <c r="A53">
        <v>3.71</v>
      </c>
      <c r="B53">
        <v>19.393750000000001</v>
      </c>
    </row>
    <row r="54" spans="1:2" x14ac:dyDescent="0.25">
      <c r="A54">
        <v>5.2519999999999998</v>
      </c>
      <c r="B54">
        <v>22.356249999999999</v>
      </c>
    </row>
    <row r="55" spans="1:2" x14ac:dyDescent="0.25">
      <c r="A55">
        <v>1.8</v>
      </c>
      <c r="B55">
        <v>20.993749999999999</v>
      </c>
    </row>
    <row r="56" spans="1:2" x14ac:dyDescent="0.25">
      <c r="A56">
        <v>4.5839999999999996</v>
      </c>
      <c r="B56">
        <v>22.21875</v>
      </c>
    </row>
    <row r="57" spans="1:2" x14ac:dyDescent="0.25">
      <c r="A57">
        <v>6.2759999999999998</v>
      </c>
      <c r="B57">
        <v>24.875</v>
      </c>
    </row>
    <row r="58" spans="1:2" x14ac:dyDescent="0.25">
      <c r="A58">
        <v>6.8920000000000003</v>
      </c>
      <c r="B58">
        <v>25.162500000000001</v>
      </c>
    </row>
    <row r="59" spans="1:2" x14ac:dyDescent="0.25">
      <c r="A59">
        <v>5.9740000000000002</v>
      </c>
      <c r="B59">
        <v>23.575009999999999</v>
      </c>
    </row>
    <row r="60" spans="1:2" x14ac:dyDescent="0.25">
      <c r="A60">
        <v>6.8760000000000003</v>
      </c>
      <c r="B60">
        <v>20.662500000000001</v>
      </c>
    </row>
    <row r="61" spans="1:2" x14ac:dyDescent="0.25">
      <c r="A61">
        <v>5.1680000000000001</v>
      </c>
      <c r="B61">
        <v>23.543749999999999</v>
      </c>
    </row>
    <row r="62" spans="1:2" x14ac:dyDescent="0.25">
      <c r="A62">
        <v>6.1520000000000001</v>
      </c>
      <c r="B62">
        <v>24.256250000000001</v>
      </c>
    </row>
    <row r="63" spans="1:2" x14ac:dyDescent="0.25">
      <c r="A63">
        <v>6.5839999999999996</v>
      </c>
      <c r="B63">
        <v>25.168749999999999</v>
      </c>
    </row>
    <row r="64" spans="1:2" x14ac:dyDescent="0.25">
      <c r="A64">
        <v>5.3780000000000001</v>
      </c>
      <c r="B64">
        <v>27.175000000000001</v>
      </c>
    </row>
    <row r="65" spans="1:2" x14ac:dyDescent="0.25">
      <c r="A65">
        <v>6.4720000000000004</v>
      </c>
      <c r="B65">
        <v>22.587499999999999</v>
      </c>
    </row>
    <row r="66" spans="1:2" x14ac:dyDescent="0.25">
      <c r="A66">
        <v>5.202</v>
      </c>
      <c r="B66">
        <v>17.493749999999999</v>
      </c>
    </row>
    <row r="67" spans="1:2" x14ac:dyDescent="0.25">
      <c r="A67">
        <v>6.1859999999999999</v>
      </c>
      <c r="B67">
        <v>19</v>
      </c>
    </row>
    <row r="68" spans="1:2" x14ac:dyDescent="0.25">
      <c r="A68">
        <v>5.5119999999999996</v>
      </c>
      <c r="B68">
        <v>21.043749999999999</v>
      </c>
    </row>
    <row r="69" spans="1:2" x14ac:dyDescent="0.25">
      <c r="A69">
        <v>1.6479999999999999</v>
      </c>
      <c r="B69">
        <v>19.274999999999999</v>
      </c>
    </row>
    <row r="70" spans="1:2" x14ac:dyDescent="0.25">
      <c r="A70">
        <v>5.2919999999999998</v>
      </c>
      <c r="B70">
        <v>21.0625</v>
      </c>
    </row>
    <row r="71" spans="1:2" x14ac:dyDescent="0.25">
      <c r="A71">
        <v>6.2380000000000004</v>
      </c>
      <c r="B71">
        <v>16.137499999999999</v>
      </c>
    </row>
    <row r="72" spans="1:2" x14ac:dyDescent="0.25">
      <c r="A72">
        <v>6.2720000000000002</v>
      </c>
      <c r="B72">
        <v>15.28125</v>
      </c>
    </row>
    <row r="73" spans="1:2" x14ac:dyDescent="0.25">
      <c r="A73">
        <v>6.2119999999999997</v>
      </c>
      <c r="B73">
        <v>18.600000000000001</v>
      </c>
    </row>
    <row r="74" spans="1:2" x14ac:dyDescent="0.25">
      <c r="A74">
        <v>6.1920000000000002</v>
      </c>
      <c r="B74">
        <v>18.3</v>
      </c>
    </row>
    <row r="75" spans="1:2" x14ac:dyDescent="0.25">
      <c r="A75">
        <v>6.1680000000000001</v>
      </c>
      <c r="B75">
        <v>21.3</v>
      </c>
    </row>
    <row r="76" spans="1:2" x14ac:dyDescent="0.25">
      <c r="A76">
        <v>6.1260000000000003</v>
      </c>
      <c r="B76">
        <v>22.056249999999999</v>
      </c>
    </row>
    <row r="77" spans="1:2" x14ac:dyDescent="0.25">
      <c r="A77">
        <v>5.5880000000000001</v>
      </c>
      <c r="B77">
        <v>24.212499999999999</v>
      </c>
    </row>
    <row r="78" spans="1:2" x14ac:dyDescent="0.25">
      <c r="A78">
        <v>3.6859999999999999</v>
      </c>
      <c r="B78">
        <v>26.225000000000001</v>
      </c>
    </row>
    <row r="79" spans="1:2" x14ac:dyDescent="0.25">
      <c r="A79">
        <v>5.8460000000000001</v>
      </c>
      <c r="B79">
        <v>20.881250000000001</v>
      </c>
    </row>
    <row r="80" spans="1:2" x14ac:dyDescent="0.25">
      <c r="A80">
        <v>5.81</v>
      </c>
      <c r="B80">
        <v>16.45</v>
      </c>
    </row>
    <row r="81" spans="1:2" x14ac:dyDescent="0.25">
      <c r="A81">
        <v>5.3760000000000003</v>
      </c>
      <c r="B81">
        <v>14.893750000000001</v>
      </c>
    </row>
    <row r="82" spans="1:2" x14ac:dyDescent="0.25">
      <c r="A82">
        <v>4.8099999999999996</v>
      </c>
      <c r="B82">
        <v>18.118749999999999</v>
      </c>
    </row>
    <row r="83" spans="1:2" x14ac:dyDescent="0.25">
      <c r="A83">
        <v>4.3739999999999997</v>
      </c>
      <c r="B83">
        <v>18.693750000000001</v>
      </c>
    </row>
    <row r="84" spans="1:2" x14ac:dyDescent="0.25">
      <c r="A84">
        <v>2.95</v>
      </c>
      <c r="B84">
        <v>19.143750000000001</v>
      </c>
    </row>
    <row r="85" spans="1:2" x14ac:dyDescent="0.25">
      <c r="A85">
        <v>5.242</v>
      </c>
      <c r="B85">
        <v>19.25</v>
      </c>
    </row>
    <row r="86" spans="1:2" x14ac:dyDescent="0.25">
      <c r="A86">
        <v>5.4039999999999999</v>
      </c>
      <c r="B86">
        <v>21.46875</v>
      </c>
    </row>
    <row r="87" spans="1:2" x14ac:dyDescent="0.25">
      <c r="A87">
        <v>5.4320000000000004</v>
      </c>
      <c r="B87">
        <v>23.53125</v>
      </c>
    </row>
    <row r="88" spans="1:2" x14ac:dyDescent="0.25">
      <c r="A88">
        <v>5.4080000000000004</v>
      </c>
      <c r="B88">
        <v>18.856249999999999</v>
      </c>
    </row>
    <row r="89" spans="1:2" x14ac:dyDescent="0.25">
      <c r="A89">
        <v>2.214</v>
      </c>
      <c r="B89">
        <v>13.00625</v>
      </c>
    </row>
    <row r="90" spans="1:2" x14ac:dyDescent="0.25">
      <c r="A90">
        <v>1.3919999999999999</v>
      </c>
      <c r="B90">
        <v>12.65</v>
      </c>
    </row>
    <row r="91" spans="1:2" x14ac:dyDescent="0.25">
      <c r="A91">
        <v>5.3959999999999999</v>
      </c>
      <c r="B91">
        <v>14.025</v>
      </c>
    </row>
    <row r="92" spans="1:2" x14ac:dyDescent="0.25">
      <c r="A92">
        <v>5.3339999999999996</v>
      </c>
      <c r="B92">
        <v>17.125</v>
      </c>
    </row>
    <row r="93" spans="1:2" x14ac:dyDescent="0.25">
      <c r="A93">
        <v>5.1340000000000003</v>
      </c>
      <c r="B93">
        <v>18.15625</v>
      </c>
    </row>
    <row r="94" spans="1:2" x14ac:dyDescent="0.25">
      <c r="A94">
        <v>5.2640000000000002</v>
      </c>
      <c r="B94">
        <v>15.06875</v>
      </c>
    </row>
    <row r="95" spans="1:2" x14ac:dyDescent="0.25">
      <c r="A95">
        <v>3.73</v>
      </c>
      <c r="B95">
        <v>14.8375</v>
      </c>
    </row>
    <row r="96" spans="1:2" x14ac:dyDescent="0.25">
      <c r="A96">
        <v>3.8180000000000001</v>
      </c>
      <c r="B96">
        <v>17.637499999999999</v>
      </c>
    </row>
    <row r="97" spans="1:2" x14ac:dyDescent="0.25">
      <c r="A97">
        <v>4.3659999999999997</v>
      </c>
      <c r="B97">
        <v>19.331250000000001</v>
      </c>
    </row>
    <row r="98" spans="1:2" x14ac:dyDescent="0.25">
      <c r="A98">
        <v>3.3119999999999998</v>
      </c>
      <c r="B98">
        <v>20.85</v>
      </c>
    </row>
    <row r="99" spans="1:2" x14ac:dyDescent="0.25">
      <c r="A99">
        <v>4.58</v>
      </c>
      <c r="B99">
        <v>17.018750000000001</v>
      </c>
    </row>
    <row r="100" spans="1:2" x14ac:dyDescent="0.25">
      <c r="A100">
        <v>3.516</v>
      </c>
      <c r="B100">
        <v>17.40625</v>
      </c>
    </row>
    <row r="101" spans="1:2" x14ac:dyDescent="0.25">
      <c r="A101">
        <v>4.9539999999999997</v>
      </c>
      <c r="B101">
        <v>15.637499999999999</v>
      </c>
    </row>
    <row r="102" spans="1:2" x14ac:dyDescent="0.25">
      <c r="A102">
        <v>4.7</v>
      </c>
      <c r="B102">
        <v>16.743749999999999</v>
      </c>
    </row>
    <row r="103" spans="1:2" x14ac:dyDescent="0.25">
      <c r="A103">
        <v>2.218</v>
      </c>
      <c r="B103">
        <v>17.21875</v>
      </c>
    </row>
    <row r="104" spans="1:2" x14ac:dyDescent="0.25">
      <c r="A104">
        <v>2.2679999999999998</v>
      </c>
      <c r="B104">
        <v>17.393750000000001</v>
      </c>
    </row>
    <row r="105" spans="1:2" x14ac:dyDescent="0.25">
      <c r="A105">
        <v>3.6880000000000002</v>
      </c>
      <c r="B105">
        <v>19.90626</v>
      </c>
    </row>
    <row r="106" spans="1:2" x14ac:dyDescent="0.25">
      <c r="A106">
        <v>4.5999999999999996</v>
      </c>
      <c r="B106">
        <v>20.425000000000001</v>
      </c>
    </row>
    <row r="107" spans="1:2" x14ac:dyDescent="0.25">
      <c r="A107">
        <v>3.742</v>
      </c>
      <c r="B107">
        <v>21.574999999999999</v>
      </c>
    </row>
    <row r="108" spans="1:2" x14ac:dyDescent="0.25">
      <c r="A108">
        <v>4.4800000000000004</v>
      </c>
      <c r="B108">
        <v>22.15</v>
      </c>
    </row>
    <row r="109" spans="1:2" x14ac:dyDescent="0.25">
      <c r="A109">
        <v>4.0519999999999996</v>
      </c>
      <c r="B109">
        <v>22.493749999999999</v>
      </c>
    </row>
    <row r="110" spans="1:2" x14ac:dyDescent="0.25">
      <c r="A110">
        <v>3.0840000000000001</v>
      </c>
      <c r="B110">
        <v>21.462499999999999</v>
      </c>
    </row>
    <row r="111" spans="1:2" x14ac:dyDescent="0.25">
      <c r="A111">
        <v>4.03</v>
      </c>
      <c r="B111">
        <v>18.59375</v>
      </c>
    </row>
    <row r="112" spans="1:2" x14ac:dyDescent="0.25">
      <c r="A112">
        <v>2.1150000000000002</v>
      </c>
      <c r="B112">
        <v>21.337499999999999</v>
      </c>
    </row>
    <row r="113" spans="1:2" x14ac:dyDescent="0.25">
      <c r="A113">
        <v>4.2300000000000004</v>
      </c>
      <c r="B113">
        <v>17.318750000000001</v>
      </c>
    </row>
    <row r="114" spans="1:2" x14ac:dyDescent="0.25">
      <c r="A114">
        <v>4.3609999999999998</v>
      </c>
      <c r="B114">
        <v>15.05</v>
      </c>
    </row>
    <row r="115" spans="1:2" x14ac:dyDescent="0.25">
      <c r="A115">
        <v>4.0960000000000001</v>
      </c>
      <c r="B115">
        <v>15.225</v>
      </c>
    </row>
    <row r="116" spans="1:2" x14ac:dyDescent="0.25">
      <c r="A116">
        <v>2.262</v>
      </c>
      <c r="B116">
        <v>14.06875</v>
      </c>
    </row>
    <row r="117" spans="1:2" x14ac:dyDescent="0.25">
      <c r="A117">
        <v>4.2750000000000004</v>
      </c>
      <c r="B117">
        <v>13.625</v>
      </c>
    </row>
    <row r="118" spans="1:2" x14ac:dyDescent="0.25">
      <c r="A118">
        <v>4.2350000000000003</v>
      </c>
      <c r="B118">
        <v>15.025</v>
      </c>
    </row>
    <row r="119" spans="1:2" x14ac:dyDescent="0.25">
      <c r="A119">
        <v>4.1449999999999996</v>
      </c>
      <c r="B119">
        <v>12.85</v>
      </c>
    </row>
    <row r="120" spans="1:2" x14ac:dyDescent="0.25">
      <c r="A120">
        <v>3.3380000000000001</v>
      </c>
      <c r="B120">
        <v>13.375</v>
      </c>
    </row>
    <row r="121" spans="1:2" x14ac:dyDescent="0.25">
      <c r="A121">
        <v>4.0369999999999999</v>
      </c>
      <c r="B121">
        <v>16.106249999999999</v>
      </c>
    </row>
    <row r="122" spans="1:2" x14ac:dyDescent="0.25">
      <c r="A122">
        <v>4.0679999999999996</v>
      </c>
      <c r="B122">
        <v>16.425000000000001</v>
      </c>
    </row>
    <row r="123" spans="1:2" x14ac:dyDescent="0.25">
      <c r="A123">
        <v>3.9809999999999999</v>
      </c>
      <c r="B123">
        <v>14.1</v>
      </c>
    </row>
    <row r="124" spans="1:2" x14ac:dyDescent="0.25">
      <c r="A124">
        <v>3.585</v>
      </c>
      <c r="B124">
        <v>11.475</v>
      </c>
    </row>
    <row r="125" spans="1:2" x14ac:dyDescent="0.25">
      <c r="A125">
        <v>3.3069999999999999</v>
      </c>
      <c r="B125">
        <v>12.44375</v>
      </c>
    </row>
    <row r="126" spans="1:2" x14ac:dyDescent="0.25">
      <c r="A126">
        <v>3.0339999999999998</v>
      </c>
      <c r="B126">
        <v>13.481249999999999</v>
      </c>
    </row>
    <row r="127" spans="1:2" x14ac:dyDescent="0.25">
      <c r="A127">
        <v>2.6349999999999998</v>
      </c>
      <c r="B127">
        <v>10.125</v>
      </c>
    </row>
    <row r="128" spans="1:2" x14ac:dyDescent="0.25">
      <c r="A128">
        <v>3.754</v>
      </c>
      <c r="B128">
        <v>9.5562509999999996</v>
      </c>
    </row>
    <row r="129" spans="1:2" x14ac:dyDescent="0.25">
      <c r="A129">
        <v>3.633</v>
      </c>
      <c r="B129">
        <v>9.8062509999999996</v>
      </c>
    </row>
    <row r="130" spans="1:2" x14ac:dyDescent="0.25">
      <c r="A130">
        <v>3.6920000000000002</v>
      </c>
      <c r="B130">
        <v>9.7875019999999999</v>
      </c>
    </row>
    <row r="131" spans="1:2" x14ac:dyDescent="0.25">
      <c r="A131">
        <v>3.5750000000000002</v>
      </c>
      <c r="B131">
        <v>12.6875</v>
      </c>
    </row>
    <row r="132" spans="1:2" x14ac:dyDescent="0.25">
      <c r="A132">
        <v>1.38</v>
      </c>
      <c r="B132">
        <v>14.456250000000001</v>
      </c>
    </row>
    <row r="133" spans="1:2" x14ac:dyDescent="0.25">
      <c r="A133">
        <v>3.5169999999999999</v>
      </c>
      <c r="B133">
        <v>14.8375</v>
      </c>
    </row>
    <row r="134" spans="1:2" x14ac:dyDescent="0.25">
      <c r="A134">
        <v>2.202</v>
      </c>
      <c r="B134">
        <v>14.987500000000001</v>
      </c>
    </row>
    <row r="135" spans="1:2" x14ac:dyDescent="0.25">
      <c r="A135">
        <v>3.2629999999999999</v>
      </c>
      <c r="B135">
        <v>16.987500000000001</v>
      </c>
    </row>
    <row r="136" spans="1:2" x14ac:dyDescent="0.25">
      <c r="A136">
        <v>3.2509999999999999</v>
      </c>
      <c r="B136">
        <v>12.96875</v>
      </c>
    </row>
    <row r="137" spans="1:2" x14ac:dyDescent="0.25">
      <c r="A137">
        <v>3.5179999999999998</v>
      </c>
      <c r="B137">
        <v>12.543749999999999</v>
      </c>
    </row>
    <row r="138" spans="1:2" x14ac:dyDescent="0.25">
      <c r="A138">
        <v>3.2170000000000001</v>
      </c>
      <c r="B138">
        <v>12.512499999999999</v>
      </c>
    </row>
    <row r="139" spans="1:2" x14ac:dyDescent="0.25">
      <c r="A139">
        <v>2.2400000000000002</v>
      </c>
      <c r="B139">
        <v>12.18125</v>
      </c>
    </row>
    <row r="140" spans="1:2" x14ac:dyDescent="0.25">
      <c r="A140">
        <v>2.968</v>
      </c>
      <c r="B140">
        <v>12.4</v>
      </c>
    </row>
    <row r="141" spans="1:2" x14ac:dyDescent="0.25">
      <c r="A141">
        <v>3.29</v>
      </c>
      <c r="B141">
        <v>12.175000000000001</v>
      </c>
    </row>
    <row r="142" spans="1:2" x14ac:dyDescent="0.25">
      <c r="A142">
        <v>3.3740000000000001</v>
      </c>
      <c r="B142">
        <v>10.53125</v>
      </c>
    </row>
    <row r="143" spans="1:2" x14ac:dyDescent="0.25">
      <c r="A143">
        <v>3.1840000000000002</v>
      </c>
      <c r="B143">
        <v>9.5500000000000007</v>
      </c>
    </row>
    <row r="144" spans="1:2" x14ac:dyDescent="0.25">
      <c r="A144">
        <v>3.1760000000000002</v>
      </c>
      <c r="B144">
        <v>8.9000020000000006</v>
      </c>
    </row>
    <row r="145" spans="1:2" x14ac:dyDescent="0.25">
      <c r="A145">
        <v>3.0390000000000001</v>
      </c>
      <c r="B145">
        <v>9.3500010000000007</v>
      </c>
    </row>
    <row r="146" spans="1:2" x14ac:dyDescent="0.25">
      <c r="A146">
        <v>2.665</v>
      </c>
      <c r="B146">
        <v>9.1312519999999999</v>
      </c>
    </row>
    <row r="147" spans="1:2" x14ac:dyDescent="0.25">
      <c r="A147">
        <v>3.28</v>
      </c>
      <c r="B147">
        <v>8.3812510000000007</v>
      </c>
    </row>
    <row r="148" spans="1:2" x14ac:dyDescent="0.25">
      <c r="A148">
        <v>2.8660000000000001</v>
      </c>
      <c r="B148">
        <v>9.2187509999999993</v>
      </c>
    </row>
    <row r="149" spans="1:2" x14ac:dyDescent="0.25">
      <c r="A149">
        <v>2.1280000000000001</v>
      </c>
      <c r="B149">
        <v>9.5375010000000007</v>
      </c>
    </row>
    <row r="150" spans="1:2" x14ac:dyDescent="0.25">
      <c r="A150">
        <v>1.131</v>
      </c>
      <c r="B150">
        <v>10.725</v>
      </c>
    </row>
    <row r="151" spans="1:2" x14ac:dyDescent="0.25">
      <c r="A151">
        <v>3.141</v>
      </c>
      <c r="B151">
        <v>10.84375</v>
      </c>
    </row>
    <row r="152" spans="1:2" x14ac:dyDescent="0.25">
      <c r="A152">
        <v>2.1179999999999999</v>
      </c>
      <c r="B152">
        <v>11.324999999999999</v>
      </c>
    </row>
    <row r="153" spans="1:2" x14ac:dyDescent="0.25">
      <c r="A153">
        <v>1.7889999999999999</v>
      </c>
      <c r="B153">
        <v>10.88125</v>
      </c>
    </row>
    <row r="154" spans="1:2" x14ac:dyDescent="0.25">
      <c r="A154">
        <v>2.84</v>
      </c>
      <c r="B154">
        <v>12.112500000000001</v>
      </c>
    </row>
    <row r="155" spans="1:2" x14ac:dyDescent="0.25">
      <c r="A155">
        <v>2.952</v>
      </c>
      <c r="B155">
        <v>12.6875</v>
      </c>
    </row>
    <row r="156" spans="1:2" x14ac:dyDescent="0.25">
      <c r="A156">
        <v>3.02</v>
      </c>
      <c r="B156">
        <v>9.4437499999999996</v>
      </c>
    </row>
    <row r="157" spans="1:2" x14ac:dyDescent="0.25">
      <c r="A157">
        <v>3.1160000000000001</v>
      </c>
      <c r="B157">
        <v>9.4187519999999996</v>
      </c>
    </row>
    <row r="158" spans="1:2" x14ac:dyDescent="0.25">
      <c r="A158">
        <v>3.04</v>
      </c>
      <c r="B158">
        <v>8.6500020000000006</v>
      </c>
    </row>
    <row r="159" spans="1:2" x14ac:dyDescent="0.25">
      <c r="A159">
        <v>3.0979999999999999</v>
      </c>
      <c r="B159">
        <v>7.7874999999999996</v>
      </c>
    </row>
    <row r="160" spans="1:2" x14ac:dyDescent="0.25">
      <c r="A160">
        <v>2.7210000000000001</v>
      </c>
      <c r="B160">
        <v>7.8187499999999996</v>
      </c>
    </row>
    <row r="161" spans="1:2" x14ac:dyDescent="0.25">
      <c r="A161">
        <v>1.111</v>
      </c>
      <c r="B161">
        <v>7.8562510000000003</v>
      </c>
    </row>
    <row r="162" spans="1:2" x14ac:dyDescent="0.25">
      <c r="A162">
        <v>2.911</v>
      </c>
      <c r="B162">
        <v>11.3375</v>
      </c>
    </row>
    <row r="163" spans="1:2" x14ac:dyDescent="0.25">
      <c r="A163">
        <v>2.7749999999999999</v>
      </c>
      <c r="B163">
        <v>7.7625000000000002</v>
      </c>
    </row>
    <row r="164" spans="1:2" x14ac:dyDescent="0.25">
      <c r="A164">
        <v>2.536</v>
      </c>
      <c r="B164">
        <v>7.9749999999999996</v>
      </c>
    </row>
    <row r="165" spans="1:2" x14ac:dyDescent="0.25">
      <c r="A165">
        <v>1.992</v>
      </c>
      <c r="B165">
        <v>12.518750000000001</v>
      </c>
    </row>
    <row r="166" spans="1:2" x14ac:dyDescent="0.25">
      <c r="A166">
        <v>2.3319999999999999</v>
      </c>
      <c r="B166">
        <v>11.56875</v>
      </c>
    </row>
    <row r="167" spans="1:2" x14ac:dyDescent="0.25">
      <c r="A167">
        <v>2.8879999999999999</v>
      </c>
      <c r="B167">
        <v>12.18125</v>
      </c>
    </row>
    <row r="168" spans="1:2" x14ac:dyDescent="0.25">
      <c r="A168">
        <v>2.802</v>
      </c>
      <c r="B168">
        <v>10.75</v>
      </c>
    </row>
    <row r="169" spans="1:2" x14ac:dyDescent="0.25">
      <c r="A169">
        <v>2.496</v>
      </c>
      <c r="B169">
        <v>9.7750020000000006</v>
      </c>
    </row>
    <row r="170" spans="1:2" x14ac:dyDescent="0.25">
      <c r="A170">
        <v>2.3359999999999999</v>
      </c>
      <c r="B170">
        <v>7.3062509999999996</v>
      </c>
    </row>
    <row r="171" spans="1:2" x14ac:dyDescent="0.25">
      <c r="A171">
        <v>2.3839999999999999</v>
      </c>
      <c r="B171">
        <v>10.19375</v>
      </c>
    </row>
    <row r="172" spans="1:2" x14ac:dyDescent="0.25">
      <c r="A172">
        <v>2.8479999999999999</v>
      </c>
      <c r="B172">
        <v>12.331250000000001</v>
      </c>
    </row>
    <row r="173" spans="1:2" x14ac:dyDescent="0.25">
      <c r="A173">
        <v>2.72</v>
      </c>
      <c r="B173">
        <v>12.78125</v>
      </c>
    </row>
    <row r="174" spans="1:2" x14ac:dyDescent="0.25">
      <c r="A174">
        <v>2.802</v>
      </c>
      <c r="B174">
        <v>11.043749999999999</v>
      </c>
    </row>
    <row r="175" spans="1:2" x14ac:dyDescent="0.25">
      <c r="A175">
        <v>2.044</v>
      </c>
      <c r="B175">
        <v>8.9937520000000006</v>
      </c>
    </row>
    <row r="176" spans="1:2" x14ac:dyDescent="0.25">
      <c r="A176">
        <v>1.79</v>
      </c>
      <c r="B176">
        <v>11.5375</v>
      </c>
    </row>
    <row r="177" spans="1:2" x14ac:dyDescent="0.25">
      <c r="A177">
        <v>1.8480000000000001</v>
      </c>
      <c r="B177">
        <v>12.025</v>
      </c>
    </row>
    <row r="178" spans="1:2" x14ac:dyDescent="0.25">
      <c r="A178">
        <v>2.8959999999999999</v>
      </c>
      <c r="B178">
        <v>11.643750000000001</v>
      </c>
    </row>
    <row r="179" spans="1:2" x14ac:dyDescent="0.25">
      <c r="A179">
        <v>2.9540000000000002</v>
      </c>
      <c r="B179">
        <v>11.4125</v>
      </c>
    </row>
    <row r="180" spans="1:2" x14ac:dyDescent="0.25">
      <c r="A180">
        <v>3.016</v>
      </c>
      <c r="B180">
        <v>12.481249999999999</v>
      </c>
    </row>
    <row r="181" spans="1:2" x14ac:dyDescent="0.25">
      <c r="A181">
        <v>1.6719999999999999</v>
      </c>
      <c r="B181">
        <v>11.987500000000001</v>
      </c>
    </row>
    <row r="182" spans="1:2" x14ac:dyDescent="0.25">
      <c r="A182">
        <v>1.64</v>
      </c>
      <c r="B182">
        <v>13.275</v>
      </c>
    </row>
    <row r="183" spans="1:2" x14ac:dyDescent="0.25">
      <c r="A183">
        <v>2.302</v>
      </c>
      <c r="B183">
        <v>10.4</v>
      </c>
    </row>
    <row r="184" spans="1:2" x14ac:dyDescent="0.25">
      <c r="A184">
        <v>1.6120000000000001</v>
      </c>
      <c r="B184">
        <v>8.2437520000000006</v>
      </c>
    </row>
    <row r="185" spans="1:2" x14ac:dyDescent="0.25">
      <c r="A185">
        <v>2.3140000000000001</v>
      </c>
      <c r="B185">
        <v>10.25</v>
      </c>
    </row>
    <row r="186" spans="1:2" x14ac:dyDescent="0.25">
      <c r="A186">
        <v>2.44</v>
      </c>
      <c r="B186">
        <v>10.893750000000001</v>
      </c>
    </row>
    <row r="187" spans="1:2" x14ac:dyDescent="0.25">
      <c r="A187">
        <v>1.732</v>
      </c>
      <c r="B187">
        <v>12</v>
      </c>
    </row>
    <row r="188" spans="1:2" x14ac:dyDescent="0.25">
      <c r="A188">
        <v>2.7480000000000002</v>
      </c>
      <c r="B188">
        <v>10.3375</v>
      </c>
    </row>
    <row r="189" spans="1:2" x14ac:dyDescent="0.25">
      <c r="A189">
        <v>3.06</v>
      </c>
      <c r="B189">
        <v>13.05</v>
      </c>
    </row>
    <row r="190" spans="1:2" x14ac:dyDescent="0.25">
      <c r="A190">
        <v>2.3159999999999998</v>
      </c>
      <c r="B190">
        <v>12.81875</v>
      </c>
    </row>
    <row r="191" spans="1:2" x14ac:dyDescent="0.25">
      <c r="A191">
        <v>1.788</v>
      </c>
      <c r="B191">
        <v>9.1812509999999996</v>
      </c>
    </row>
    <row r="192" spans="1:2" x14ac:dyDescent="0.25">
      <c r="A192">
        <v>2.7080000000000002</v>
      </c>
      <c r="B192">
        <v>7.75</v>
      </c>
    </row>
    <row r="193" spans="1:2" x14ac:dyDescent="0.25">
      <c r="A193">
        <v>2.802</v>
      </c>
      <c r="B193">
        <v>6.737501</v>
      </c>
    </row>
    <row r="194" spans="1:2" x14ac:dyDescent="0.25">
      <c r="A194">
        <v>2.2959999999999998</v>
      </c>
      <c r="B194">
        <v>8.643751</v>
      </c>
    </row>
    <row r="195" spans="1:2" x14ac:dyDescent="0.25">
      <c r="A195">
        <v>1.946</v>
      </c>
      <c r="B195">
        <v>6.8875000000000002</v>
      </c>
    </row>
    <row r="196" spans="1:2" x14ac:dyDescent="0.25">
      <c r="A196">
        <v>2.73</v>
      </c>
      <c r="B196">
        <v>5.9375</v>
      </c>
    </row>
    <row r="197" spans="1:2" x14ac:dyDescent="0.25">
      <c r="A197">
        <v>2.73</v>
      </c>
      <c r="B197">
        <v>7.831251</v>
      </c>
    </row>
    <row r="198" spans="1:2" x14ac:dyDescent="0.25">
      <c r="A198">
        <v>1.294</v>
      </c>
      <c r="B198">
        <v>9.5250020000000006</v>
      </c>
    </row>
    <row r="199" spans="1:2" x14ac:dyDescent="0.25">
      <c r="A199">
        <v>2.048</v>
      </c>
      <c r="B199">
        <v>12.762499999999999</v>
      </c>
    </row>
    <row r="200" spans="1:2" x14ac:dyDescent="0.25">
      <c r="A200">
        <v>1.968</v>
      </c>
      <c r="B200">
        <v>9.5437510000000003</v>
      </c>
    </row>
    <row r="201" spans="1:2" x14ac:dyDescent="0.25">
      <c r="A201">
        <v>1.9159999999999999</v>
      </c>
      <c r="B201">
        <v>6.3250000000000002</v>
      </c>
    </row>
    <row r="202" spans="1:2" x14ac:dyDescent="0.25">
      <c r="A202">
        <v>3.206</v>
      </c>
      <c r="B202">
        <v>10.612500000000001</v>
      </c>
    </row>
    <row r="203" spans="1:2" x14ac:dyDescent="0.25">
      <c r="A203">
        <v>2.7280000000000002</v>
      </c>
      <c r="B203">
        <v>10.106249999999999</v>
      </c>
    </row>
    <row r="204" spans="1:2" x14ac:dyDescent="0.25">
      <c r="A204">
        <v>2.99</v>
      </c>
      <c r="B204">
        <v>10.375</v>
      </c>
    </row>
    <row r="205" spans="1:2" x14ac:dyDescent="0.25">
      <c r="A205">
        <v>3.05</v>
      </c>
      <c r="B205">
        <v>11.706250000000001</v>
      </c>
    </row>
    <row r="206" spans="1:2" x14ac:dyDescent="0.25">
      <c r="A206">
        <v>3.0459999999999998</v>
      </c>
      <c r="B206">
        <v>14.375</v>
      </c>
    </row>
    <row r="207" spans="1:2" x14ac:dyDescent="0.25">
      <c r="A207">
        <v>3.036</v>
      </c>
      <c r="B207">
        <v>13.0625</v>
      </c>
    </row>
    <row r="208" spans="1:2" x14ac:dyDescent="0.25">
      <c r="A208">
        <v>2.9820000000000002</v>
      </c>
      <c r="B208">
        <v>8.8812499999999996</v>
      </c>
    </row>
    <row r="209" spans="1:2" x14ac:dyDescent="0.25">
      <c r="A209">
        <v>3.3479999999999999</v>
      </c>
      <c r="B209">
        <v>9.1937510000000007</v>
      </c>
    </row>
    <row r="210" spans="1:2" x14ac:dyDescent="0.25">
      <c r="A210">
        <v>1.47</v>
      </c>
      <c r="B210">
        <v>11.19375</v>
      </c>
    </row>
    <row r="211" spans="1:2" x14ac:dyDescent="0.25">
      <c r="A211">
        <v>3.0920000000000001</v>
      </c>
      <c r="B211">
        <v>9.1875020000000003</v>
      </c>
    </row>
    <row r="212" spans="1:2" x14ac:dyDescent="0.25">
      <c r="A212">
        <v>2.1960000000000002</v>
      </c>
      <c r="B212">
        <v>10.06875</v>
      </c>
    </row>
    <row r="213" spans="1:2" x14ac:dyDescent="0.25">
      <c r="A213">
        <v>3.0760000000000001</v>
      </c>
      <c r="B213">
        <v>11</v>
      </c>
    </row>
    <row r="214" spans="1:2" x14ac:dyDescent="0.25">
      <c r="A214">
        <v>3.242</v>
      </c>
      <c r="B214">
        <v>10.21875</v>
      </c>
    </row>
    <row r="215" spans="1:2" x14ac:dyDescent="0.25">
      <c r="A215">
        <v>2.6739999999999999</v>
      </c>
      <c r="B215">
        <v>9.8562519999999996</v>
      </c>
    </row>
    <row r="216" spans="1:2" x14ac:dyDescent="0.25">
      <c r="A216">
        <v>2.5259999999999998</v>
      </c>
      <c r="B216">
        <v>10.9125</v>
      </c>
    </row>
    <row r="217" spans="1:2" x14ac:dyDescent="0.25">
      <c r="A217">
        <v>2.6219999999999999</v>
      </c>
      <c r="B217">
        <v>9.6000010000000007</v>
      </c>
    </row>
    <row r="218" spans="1:2" x14ac:dyDescent="0.25">
      <c r="A218">
        <v>3.6240000000000001</v>
      </c>
      <c r="B218">
        <v>8.7875010000000007</v>
      </c>
    </row>
    <row r="219" spans="1:2" x14ac:dyDescent="0.25">
      <c r="A219">
        <v>3.802</v>
      </c>
      <c r="B219">
        <v>10.112500000000001</v>
      </c>
    </row>
    <row r="220" spans="1:2" x14ac:dyDescent="0.25">
      <c r="A220">
        <v>3.43</v>
      </c>
      <c r="B220">
        <v>7.46875</v>
      </c>
    </row>
    <row r="221" spans="1:2" x14ac:dyDescent="0.25">
      <c r="A221">
        <v>3.56</v>
      </c>
      <c r="B221">
        <v>8.3312500000000007</v>
      </c>
    </row>
    <row r="222" spans="1:2" x14ac:dyDescent="0.25">
      <c r="A222">
        <v>1.1120000000000001</v>
      </c>
      <c r="B222">
        <v>12.237500000000001</v>
      </c>
    </row>
    <row r="223" spans="1:2" x14ac:dyDescent="0.25">
      <c r="A223">
        <v>3.484</v>
      </c>
      <c r="B223">
        <v>8.7937510000000003</v>
      </c>
    </row>
    <row r="224" spans="1:2" x14ac:dyDescent="0.25">
      <c r="A224">
        <v>2.75</v>
      </c>
      <c r="B224">
        <v>7.3187499999999996</v>
      </c>
    </row>
    <row r="225" spans="1:2" x14ac:dyDescent="0.25">
      <c r="A225">
        <v>1.1120000000000001</v>
      </c>
      <c r="B225">
        <v>9.5500019999999992</v>
      </c>
    </row>
    <row r="226" spans="1:2" x14ac:dyDescent="0.25">
      <c r="A226">
        <v>3.5880000000000001</v>
      </c>
      <c r="B226">
        <v>11.05</v>
      </c>
    </row>
    <row r="227" spans="1:2" x14ac:dyDescent="0.25">
      <c r="A227">
        <v>3.09</v>
      </c>
      <c r="B227">
        <v>13.9</v>
      </c>
    </row>
    <row r="228" spans="1:2" x14ac:dyDescent="0.25">
      <c r="A228">
        <v>2.504</v>
      </c>
      <c r="B228">
        <v>9.4124999999999996</v>
      </c>
    </row>
    <row r="229" spans="1:2" x14ac:dyDescent="0.25">
      <c r="A229">
        <v>4.1100000000000003</v>
      </c>
      <c r="B229">
        <v>8.3687509999999996</v>
      </c>
    </row>
    <row r="230" spans="1:2" x14ac:dyDescent="0.25">
      <c r="A230">
        <v>3.8460000000000001</v>
      </c>
      <c r="B230">
        <v>7.5812499999999998</v>
      </c>
    </row>
    <row r="231" spans="1:2" x14ac:dyDescent="0.25">
      <c r="A231">
        <v>1.1120000000000001</v>
      </c>
      <c r="B231">
        <v>10.481249999999999</v>
      </c>
    </row>
    <row r="232" spans="1:2" x14ac:dyDescent="0.25">
      <c r="A232">
        <v>2.35</v>
      </c>
      <c r="B232">
        <v>9.3312519999999992</v>
      </c>
    </row>
    <row r="233" spans="1:2" x14ac:dyDescent="0.25">
      <c r="A233">
        <v>4.0720000000000001</v>
      </c>
      <c r="B233">
        <v>10.5875</v>
      </c>
    </row>
    <row r="234" spans="1:2" x14ac:dyDescent="0.25">
      <c r="A234">
        <v>4.2759999999999998</v>
      </c>
      <c r="B234">
        <v>11.637499999999999</v>
      </c>
    </row>
    <row r="235" spans="1:2" x14ac:dyDescent="0.25">
      <c r="A235">
        <v>3.6240000000000001</v>
      </c>
      <c r="B235">
        <v>13.418749999999999</v>
      </c>
    </row>
    <row r="236" spans="1:2" x14ac:dyDescent="0.25">
      <c r="A236">
        <v>3.7120000000000002</v>
      </c>
      <c r="B236">
        <v>12.4375</v>
      </c>
    </row>
    <row r="237" spans="1:2" x14ac:dyDescent="0.25">
      <c r="A237">
        <v>3.556</v>
      </c>
      <c r="B237">
        <v>10.856249999999999</v>
      </c>
    </row>
    <row r="238" spans="1:2" x14ac:dyDescent="0.25">
      <c r="A238">
        <v>4.5119999999999996</v>
      </c>
      <c r="B238">
        <v>10.8125</v>
      </c>
    </row>
    <row r="239" spans="1:2" x14ac:dyDescent="0.25">
      <c r="A239">
        <v>2.444</v>
      </c>
      <c r="B239">
        <v>11.34375</v>
      </c>
    </row>
    <row r="240" spans="1:2" x14ac:dyDescent="0.25">
      <c r="A240">
        <v>4.29</v>
      </c>
      <c r="B240">
        <v>12.0625</v>
      </c>
    </row>
    <row r="241" spans="1:2" x14ac:dyDescent="0.25">
      <c r="A241">
        <v>4.3120000000000003</v>
      </c>
      <c r="B241">
        <v>11.831250000000001</v>
      </c>
    </row>
    <row r="242" spans="1:2" x14ac:dyDescent="0.25">
      <c r="A242">
        <v>3.2719999999999998</v>
      </c>
      <c r="B242">
        <v>10.4125</v>
      </c>
    </row>
    <row r="243" spans="1:2" x14ac:dyDescent="0.25">
      <c r="A243">
        <v>4.4820000000000002</v>
      </c>
      <c r="B243">
        <v>7.987501</v>
      </c>
    </row>
    <row r="244" spans="1:2" x14ac:dyDescent="0.25">
      <c r="A244">
        <v>4.1539999999999999</v>
      </c>
      <c r="B244">
        <v>8.956251</v>
      </c>
    </row>
    <row r="245" spans="1:2" x14ac:dyDescent="0.25">
      <c r="A245">
        <v>4.54</v>
      </c>
      <c r="B245">
        <v>9.3750009999999993</v>
      </c>
    </row>
    <row r="246" spans="1:2" x14ac:dyDescent="0.25">
      <c r="A246">
        <v>4.0860000000000003</v>
      </c>
      <c r="B246">
        <v>11.706250000000001</v>
      </c>
    </row>
    <row r="247" spans="1:2" x14ac:dyDescent="0.25">
      <c r="A247">
        <v>4.7640000000000002</v>
      </c>
      <c r="B247">
        <v>14.5875</v>
      </c>
    </row>
    <row r="248" spans="1:2" x14ac:dyDescent="0.25">
      <c r="A248">
        <v>4.2539999999999996</v>
      </c>
      <c r="B248">
        <v>12.175000000000001</v>
      </c>
    </row>
    <row r="249" spans="1:2" x14ac:dyDescent="0.25">
      <c r="A249">
        <v>4.6639999999999997</v>
      </c>
      <c r="B249">
        <v>12.55625</v>
      </c>
    </row>
    <row r="250" spans="1:2" x14ac:dyDescent="0.25">
      <c r="A250">
        <v>4.4059999999999997</v>
      </c>
      <c r="B250">
        <v>12.775</v>
      </c>
    </row>
    <row r="251" spans="1:2" x14ac:dyDescent="0.25">
      <c r="A251">
        <v>5.0949999999999998</v>
      </c>
      <c r="B251">
        <v>15.86875</v>
      </c>
    </row>
    <row r="252" spans="1:2" x14ac:dyDescent="0.25">
      <c r="A252">
        <v>4.9509999999999996</v>
      </c>
      <c r="B252">
        <v>20.149999999999999</v>
      </c>
    </row>
    <row r="253" spans="1:2" x14ac:dyDescent="0.25">
      <c r="A253">
        <v>5.26</v>
      </c>
      <c r="B253">
        <v>13.40625</v>
      </c>
    </row>
    <row r="254" spans="1:2" x14ac:dyDescent="0.25">
      <c r="A254">
        <v>4.2240000000000002</v>
      </c>
      <c r="B254">
        <v>9.5750019999999996</v>
      </c>
    </row>
    <row r="255" spans="1:2" x14ac:dyDescent="0.25">
      <c r="A255">
        <v>4.5720000000000001</v>
      </c>
      <c r="B255">
        <v>10.24375</v>
      </c>
    </row>
    <row r="256" spans="1:2" x14ac:dyDescent="0.25">
      <c r="A256">
        <v>4.141</v>
      </c>
      <c r="B256">
        <v>11.09375</v>
      </c>
    </row>
    <row r="257" spans="1:2" x14ac:dyDescent="0.25">
      <c r="A257">
        <v>4.3959999999999999</v>
      </c>
      <c r="B257">
        <v>11.231249999999999</v>
      </c>
    </row>
    <row r="258" spans="1:2" x14ac:dyDescent="0.25">
      <c r="A258">
        <v>3.516</v>
      </c>
      <c r="B258">
        <v>12.9375</v>
      </c>
    </row>
    <row r="259" spans="1:2" x14ac:dyDescent="0.25">
      <c r="A259">
        <v>4.6260000000000003</v>
      </c>
      <c r="B259">
        <v>8.3312500000000007</v>
      </c>
    </row>
    <row r="260" spans="1:2" x14ac:dyDescent="0.25">
      <c r="A260">
        <v>5.1829999999999998</v>
      </c>
      <c r="B260">
        <v>8.5187500000000007</v>
      </c>
    </row>
    <row r="261" spans="1:2" x14ac:dyDescent="0.25">
      <c r="A261">
        <v>3.9510000000000001</v>
      </c>
      <c r="B261">
        <v>11.80625</v>
      </c>
    </row>
    <row r="262" spans="1:2" x14ac:dyDescent="0.25">
      <c r="A262">
        <v>4.1360000000000001</v>
      </c>
      <c r="B262">
        <v>12.46875</v>
      </c>
    </row>
    <row r="263" spans="1:2" x14ac:dyDescent="0.25">
      <c r="A263">
        <v>5.4279999999999999</v>
      </c>
      <c r="B263">
        <v>9.3500010000000007</v>
      </c>
    </row>
    <row r="264" spans="1:2" x14ac:dyDescent="0.25">
      <c r="A264">
        <v>5.2450000000000001</v>
      </c>
      <c r="B264">
        <v>12.768750000000001</v>
      </c>
    </row>
    <row r="265" spans="1:2" x14ac:dyDescent="0.25">
      <c r="A265">
        <v>5.7619999999999996</v>
      </c>
      <c r="B265">
        <v>11.86875</v>
      </c>
    </row>
    <row r="266" spans="1:2" x14ac:dyDescent="0.25">
      <c r="A266">
        <v>5.7009999999999996</v>
      </c>
      <c r="B266">
        <v>13.456250000000001</v>
      </c>
    </row>
    <row r="267" spans="1:2" x14ac:dyDescent="0.25">
      <c r="A267">
        <v>4.6890000000000001</v>
      </c>
      <c r="B267">
        <v>11.625</v>
      </c>
    </row>
    <row r="268" spans="1:2" x14ac:dyDescent="0.25">
      <c r="A268">
        <v>5.7320000000000002</v>
      </c>
      <c r="B268">
        <v>10.862500000000001</v>
      </c>
    </row>
    <row r="269" spans="1:2" x14ac:dyDescent="0.25">
      <c r="A269">
        <v>5.1829999999999998</v>
      </c>
      <c r="B269">
        <v>9.0312509999999993</v>
      </c>
    </row>
    <row r="270" spans="1:2" x14ac:dyDescent="0.25">
      <c r="A270">
        <v>4.6749999999999998</v>
      </c>
      <c r="B270">
        <v>9.050001</v>
      </c>
    </row>
    <row r="271" spans="1:2" x14ac:dyDescent="0.25">
      <c r="A271">
        <v>4.9729999999999999</v>
      </c>
      <c r="B271">
        <v>10.050000000000001</v>
      </c>
    </row>
    <row r="272" spans="1:2" x14ac:dyDescent="0.25">
      <c r="A272">
        <v>4.9290000000000003</v>
      </c>
      <c r="B272">
        <v>11.53125</v>
      </c>
    </row>
    <row r="273" spans="1:2" x14ac:dyDescent="0.25">
      <c r="A273">
        <v>6.0369999999999999</v>
      </c>
      <c r="B273">
        <v>12.775</v>
      </c>
    </row>
    <row r="274" spans="1:2" x14ac:dyDescent="0.25">
      <c r="A274">
        <v>5.5789999999999997</v>
      </c>
      <c r="B274">
        <v>12.975</v>
      </c>
    </row>
    <row r="275" spans="1:2" x14ac:dyDescent="0.25">
      <c r="A275">
        <v>5.4889999999999999</v>
      </c>
      <c r="B275">
        <v>16.7</v>
      </c>
    </row>
    <row r="276" spans="1:2" x14ac:dyDescent="0.25">
      <c r="A276">
        <v>1.603</v>
      </c>
      <c r="B276">
        <v>20.5</v>
      </c>
    </row>
    <row r="277" spans="1:2" x14ac:dyDescent="0.25">
      <c r="A277">
        <v>6.141</v>
      </c>
      <c r="B277">
        <v>16.824999999999999</v>
      </c>
    </row>
    <row r="278" spans="1:2" x14ac:dyDescent="0.25">
      <c r="A278">
        <v>5.3559999999999999</v>
      </c>
      <c r="B278">
        <v>26.068750000000001</v>
      </c>
    </row>
    <row r="279" spans="1:2" x14ac:dyDescent="0.25">
      <c r="A279">
        <v>4.1950000000000003</v>
      </c>
      <c r="B279">
        <v>23.85</v>
      </c>
    </row>
    <row r="280" spans="1:2" x14ac:dyDescent="0.25">
      <c r="A280">
        <v>4.4180000000000001</v>
      </c>
      <c r="B280">
        <v>18.393750000000001</v>
      </c>
    </row>
    <row r="281" spans="1:2" x14ac:dyDescent="0.25">
      <c r="A281">
        <v>5.9169999999999998</v>
      </c>
      <c r="B281">
        <v>23.256250000000001</v>
      </c>
    </row>
    <row r="282" spans="1:2" x14ac:dyDescent="0.25">
      <c r="A282">
        <v>5.8840000000000003</v>
      </c>
      <c r="B282">
        <v>14.775</v>
      </c>
    </row>
    <row r="283" spans="1:2" x14ac:dyDescent="0.25">
      <c r="A283">
        <v>4.0709999999999997</v>
      </c>
      <c r="B283">
        <v>13.24375</v>
      </c>
    </row>
    <row r="284" spans="1:2" x14ac:dyDescent="0.25">
      <c r="A284">
        <v>5.4210000000000003</v>
      </c>
      <c r="B284">
        <v>15.206250000000001</v>
      </c>
    </row>
    <row r="285" spans="1:2" x14ac:dyDescent="0.25">
      <c r="A285">
        <v>6.6769999999999996</v>
      </c>
      <c r="B285">
        <v>19.21875</v>
      </c>
    </row>
    <row r="286" spans="1:2" x14ac:dyDescent="0.25">
      <c r="A286">
        <v>6.2140000000000004</v>
      </c>
      <c r="B286">
        <v>15.78125</v>
      </c>
    </row>
    <row r="287" spans="1:2" x14ac:dyDescent="0.25">
      <c r="A287">
        <v>6.141</v>
      </c>
      <c r="B287">
        <v>14.425000000000001</v>
      </c>
    </row>
    <row r="288" spans="1:2" x14ac:dyDescent="0.25">
      <c r="A288">
        <v>6.5270000000000001</v>
      </c>
      <c r="B288">
        <v>11.59375</v>
      </c>
    </row>
    <row r="289" spans="1:2" x14ac:dyDescent="0.25">
      <c r="A289">
        <v>6.7320000000000002</v>
      </c>
      <c r="B289">
        <v>12.40625</v>
      </c>
    </row>
    <row r="290" spans="1:2" x14ac:dyDescent="0.25">
      <c r="A290">
        <v>6.8239999999999998</v>
      </c>
      <c r="B290">
        <v>16.981249999999999</v>
      </c>
    </row>
    <row r="291" spans="1:2" x14ac:dyDescent="0.25">
      <c r="A291">
        <v>5.4219999999999997</v>
      </c>
      <c r="B291">
        <v>16.28125</v>
      </c>
    </row>
    <row r="292" spans="1:2" x14ac:dyDescent="0.25">
      <c r="A292">
        <v>6.0659999999999998</v>
      </c>
      <c r="B292">
        <v>14.487500000000001</v>
      </c>
    </row>
    <row r="293" spans="1:2" x14ac:dyDescent="0.25">
      <c r="A293">
        <v>5.444</v>
      </c>
      <c r="B293">
        <v>16.587499999999999</v>
      </c>
    </row>
    <row r="294" spans="1:2" x14ac:dyDescent="0.25">
      <c r="A294">
        <v>7.0330000000000004</v>
      </c>
      <c r="B294">
        <v>12.918749999999999</v>
      </c>
    </row>
    <row r="295" spans="1:2" x14ac:dyDescent="0.25">
      <c r="A295">
        <v>6.9160000000000004</v>
      </c>
      <c r="B295">
        <v>15.143750000000001</v>
      </c>
    </row>
    <row r="296" spans="1:2" x14ac:dyDescent="0.25">
      <c r="A296">
        <v>6.9039999999999999</v>
      </c>
      <c r="B296">
        <v>13.1625</v>
      </c>
    </row>
    <row r="297" spans="1:2" x14ac:dyDescent="0.25">
      <c r="A297">
        <v>6.96</v>
      </c>
      <c r="B297">
        <v>15.1</v>
      </c>
    </row>
    <row r="298" spans="1:2" x14ac:dyDescent="0.25">
      <c r="A298">
        <v>7.0270000000000001</v>
      </c>
      <c r="B298">
        <v>15.918749999999999</v>
      </c>
    </row>
    <row r="299" spans="1:2" x14ac:dyDescent="0.25">
      <c r="A299">
        <v>6.9390000000000001</v>
      </c>
      <c r="B299">
        <v>13.6875</v>
      </c>
    </row>
    <row r="300" spans="1:2" x14ac:dyDescent="0.25">
      <c r="A300">
        <v>6.9710000000000001</v>
      </c>
      <c r="B300">
        <v>16.725000000000001</v>
      </c>
    </row>
    <row r="301" spans="1:2" x14ac:dyDescent="0.25">
      <c r="A301">
        <v>7.0419999999999998</v>
      </c>
      <c r="B301">
        <v>21.668749999999999</v>
      </c>
    </row>
    <row r="302" spans="1:2" x14ac:dyDescent="0.25">
      <c r="A302">
        <v>6.9219999999999997</v>
      </c>
      <c r="B302">
        <v>20.662500000000001</v>
      </c>
    </row>
    <row r="303" spans="1:2" x14ac:dyDescent="0.25">
      <c r="A303">
        <v>7.2939999999999996</v>
      </c>
      <c r="B303">
        <v>12.6625</v>
      </c>
    </row>
    <row r="304" spans="1:2" x14ac:dyDescent="0.25">
      <c r="A304">
        <v>7.15</v>
      </c>
      <c r="B304">
        <v>13.581250000000001</v>
      </c>
    </row>
    <row r="305" spans="1:2" x14ac:dyDescent="0.25">
      <c r="A305">
        <v>7.4080000000000004</v>
      </c>
      <c r="B305">
        <v>15</v>
      </c>
    </row>
    <row r="306" spans="1:2" x14ac:dyDescent="0.25">
      <c r="A306">
        <v>7.319</v>
      </c>
      <c r="B306">
        <v>16.100000000000001</v>
      </c>
    </row>
    <row r="307" spans="1:2" x14ac:dyDescent="0.25">
      <c r="A307">
        <v>6.62</v>
      </c>
      <c r="B307">
        <v>15.331250000000001</v>
      </c>
    </row>
    <row r="308" spans="1:2" x14ac:dyDescent="0.25">
      <c r="A308">
        <v>5.1379999999999999</v>
      </c>
      <c r="B308">
        <v>16.15625</v>
      </c>
    </row>
    <row r="309" spans="1:2" x14ac:dyDescent="0.25">
      <c r="A309">
        <v>7.3209999999999997</v>
      </c>
      <c r="B309">
        <v>20.931249999999999</v>
      </c>
    </row>
    <row r="310" spans="1:2" x14ac:dyDescent="0.25">
      <c r="A310">
        <v>6.6189999999999998</v>
      </c>
      <c r="B310">
        <v>17.625</v>
      </c>
    </row>
    <row r="311" spans="1:2" x14ac:dyDescent="0.25">
      <c r="A311">
        <v>6.2329999999999997</v>
      </c>
      <c r="B311">
        <v>15.518750000000001</v>
      </c>
    </row>
    <row r="312" spans="1:2" x14ac:dyDescent="0.25">
      <c r="A312">
        <v>7.1390000000000002</v>
      </c>
      <c r="B312">
        <v>17.78125</v>
      </c>
    </row>
    <row r="313" spans="1:2" x14ac:dyDescent="0.25">
      <c r="A313">
        <v>5.351</v>
      </c>
      <c r="B313">
        <v>21.006250000000001</v>
      </c>
    </row>
    <row r="314" spans="1:2" x14ac:dyDescent="0.25">
      <c r="A314">
        <v>6.5449999999999999</v>
      </c>
      <c r="B314">
        <v>24.925000000000001</v>
      </c>
    </row>
    <row r="315" spans="1:2" x14ac:dyDescent="0.25">
      <c r="A315">
        <v>7.468</v>
      </c>
      <c r="B315">
        <v>22.8</v>
      </c>
    </row>
    <row r="316" spans="1:2" x14ac:dyDescent="0.25">
      <c r="A316">
        <v>7.5519999999999996</v>
      </c>
      <c r="B316">
        <v>18.5</v>
      </c>
    </row>
    <row r="317" spans="1:2" x14ac:dyDescent="0.25">
      <c r="A317">
        <v>7.4470000000000001</v>
      </c>
      <c r="B317">
        <v>18.462499999999999</v>
      </c>
    </row>
    <row r="318" spans="1:2" x14ac:dyDescent="0.25">
      <c r="A318">
        <v>5.3449999999999998</v>
      </c>
      <c r="B318">
        <v>17.931249999999999</v>
      </c>
    </row>
    <row r="319" spans="1:2" x14ac:dyDescent="0.25">
      <c r="A319">
        <v>7.5970000000000004</v>
      </c>
      <c r="B319">
        <v>15.34375</v>
      </c>
    </row>
    <row r="320" spans="1:2" x14ac:dyDescent="0.25">
      <c r="A320">
        <v>7.0270000000000001</v>
      </c>
      <c r="B320">
        <v>10.1625</v>
      </c>
    </row>
    <row r="321" spans="1:2" x14ac:dyDescent="0.25">
      <c r="A321">
        <v>4.8140000000000001</v>
      </c>
      <c r="B321">
        <v>13.0625</v>
      </c>
    </row>
    <row r="322" spans="1:2" x14ac:dyDescent="0.25">
      <c r="A322">
        <v>7.258</v>
      </c>
      <c r="B322">
        <v>15.55</v>
      </c>
    </row>
    <row r="323" spans="1:2" x14ac:dyDescent="0.25">
      <c r="A323">
        <v>6.77</v>
      </c>
      <c r="B323">
        <v>16.162500000000001</v>
      </c>
    </row>
    <row r="324" spans="1:2" x14ac:dyDescent="0.25">
      <c r="A324">
        <v>7.4269999999999996</v>
      </c>
      <c r="B324">
        <v>17.45</v>
      </c>
    </row>
    <row r="325" spans="1:2" x14ac:dyDescent="0.25">
      <c r="A325">
        <v>4.5069999999999997</v>
      </c>
      <c r="B325">
        <v>21.518750000000001</v>
      </c>
    </row>
    <row r="326" spans="1:2" x14ac:dyDescent="0.25">
      <c r="A326">
        <v>7.4829999999999997</v>
      </c>
      <c r="B326">
        <v>22.587499999999999</v>
      </c>
    </row>
    <row r="327" spans="1:2" x14ac:dyDescent="0.25">
      <c r="A327">
        <v>6.6559999999999997</v>
      </c>
      <c r="B327">
        <v>23.206250000000001</v>
      </c>
    </row>
    <row r="328" spans="1:2" x14ac:dyDescent="0.25">
      <c r="A328">
        <v>6.95</v>
      </c>
      <c r="B328">
        <v>25.59375</v>
      </c>
    </row>
    <row r="329" spans="1:2" x14ac:dyDescent="0.25">
      <c r="A329">
        <v>8.0220000000000002</v>
      </c>
      <c r="B329">
        <v>25.762499999999999</v>
      </c>
    </row>
    <row r="330" spans="1:2" x14ac:dyDescent="0.25">
      <c r="A330">
        <v>7.5220000000000002</v>
      </c>
      <c r="B330">
        <v>19.75</v>
      </c>
    </row>
    <row r="331" spans="1:2" x14ac:dyDescent="0.25">
      <c r="A331">
        <v>8.0739999999999998</v>
      </c>
      <c r="B331">
        <v>17.118749999999999</v>
      </c>
    </row>
    <row r="332" spans="1:2" x14ac:dyDescent="0.25">
      <c r="A332">
        <v>7.9630000000000001</v>
      </c>
      <c r="B332">
        <v>21.9</v>
      </c>
    </row>
    <row r="333" spans="1:2" x14ac:dyDescent="0.25">
      <c r="A333">
        <v>6.0140000000000002</v>
      </c>
      <c r="B333">
        <v>24.45</v>
      </c>
    </row>
    <row r="334" spans="1:2" x14ac:dyDescent="0.25">
      <c r="A334">
        <v>6.657</v>
      </c>
      <c r="B334">
        <v>22.331250000000001</v>
      </c>
    </row>
    <row r="335" spans="1:2" x14ac:dyDescent="0.25">
      <c r="A335">
        <v>7.7460000000000004</v>
      </c>
      <c r="B335">
        <v>25.056249999999999</v>
      </c>
    </row>
    <row r="336" spans="1:2" x14ac:dyDescent="0.25">
      <c r="A336">
        <v>7.9960000000000004</v>
      </c>
      <c r="B336">
        <v>24.181249999999999</v>
      </c>
    </row>
    <row r="337" spans="1:2" x14ac:dyDescent="0.25">
      <c r="A337">
        <v>8.1720000000000006</v>
      </c>
      <c r="B337">
        <v>26.6</v>
      </c>
    </row>
    <row r="338" spans="1:2" x14ac:dyDescent="0.25">
      <c r="A338">
        <v>7.1760000000000002</v>
      </c>
      <c r="B338">
        <v>31.737500000000001</v>
      </c>
    </row>
    <row r="339" spans="1:2" x14ac:dyDescent="0.25">
      <c r="A339">
        <v>6.673</v>
      </c>
      <c r="B339">
        <v>29.53125</v>
      </c>
    </row>
    <row r="340" spans="1:2" x14ac:dyDescent="0.25">
      <c r="A340">
        <v>8.3059999999999992</v>
      </c>
      <c r="B340">
        <v>18.331250000000001</v>
      </c>
    </row>
    <row r="341" spans="1:2" x14ac:dyDescent="0.25">
      <c r="A341">
        <v>7.36</v>
      </c>
      <c r="B341">
        <v>17.581250000000001</v>
      </c>
    </row>
    <row r="342" spans="1:2" x14ac:dyDescent="0.25">
      <c r="A342">
        <v>8.3450000000000006</v>
      </c>
      <c r="B342">
        <v>20.193750000000001</v>
      </c>
    </row>
    <row r="343" spans="1:2" x14ac:dyDescent="0.25">
      <c r="A343">
        <v>8.3539999999999992</v>
      </c>
      <c r="B343">
        <v>20.90625</v>
      </c>
    </row>
    <row r="344" spans="1:2" x14ac:dyDescent="0.25">
      <c r="A344">
        <v>8.0359999999999996</v>
      </c>
      <c r="B344">
        <v>20.387499999999999</v>
      </c>
    </row>
    <row r="345" spans="1:2" x14ac:dyDescent="0.25">
      <c r="A345">
        <v>5.9550000000000001</v>
      </c>
      <c r="B345">
        <v>14.525</v>
      </c>
    </row>
    <row r="346" spans="1:2" x14ac:dyDescent="0.25">
      <c r="A346">
        <v>3.1560000000000001</v>
      </c>
      <c r="B346">
        <v>18.018750000000001</v>
      </c>
    </row>
    <row r="347" spans="1:2" x14ac:dyDescent="0.25">
      <c r="A347">
        <v>6.8840000000000003</v>
      </c>
      <c r="B347">
        <v>21.637499999999999</v>
      </c>
    </row>
    <row r="348" spans="1:2" x14ac:dyDescent="0.25">
      <c r="A348">
        <v>7.7039999999999997</v>
      </c>
      <c r="B348">
        <v>25.725000000000001</v>
      </c>
    </row>
    <row r="349" spans="1:2" x14ac:dyDescent="0.25">
      <c r="A349">
        <v>7.44</v>
      </c>
      <c r="B349">
        <v>20.518750000000001</v>
      </c>
    </row>
    <row r="350" spans="1:2" x14ac:dyDescent="0.25">
      <c r="A350">
        <v>6.0179999999999998</v>
      </c>
      <c r="B350">
        <v>20.556249999999999</v>
      </c>
    </row>
    <row r="351" spans="1:2" x14ac:dyDescent="0.25">
      <c r="A351">
        <v>8.2880000000000003</v>
      </c>
      <c r="B351">
        <v>22.59375</v>
      </c>
    </row>
    <row r="352" spans="1:2" x14ac:dyDescent="0.25">
      <c r="A352">
        <v>7.3769999999999998</v>
      </c>
      <c r="B352">
        <v>27.556249999999999</v>
      </c>
    </row>
    <row r="353" spans="1:2" x14ac:dyDescent="0.25">
      <c r="A353">
        <v>7.89</v>
      </c>
      <c r="B353">
        <v>23.418749999999999</v>
      </c>
    </row>
    <row r="354" spans="1:2" x14ac:dyDescent="0.25">
      <c r="A354">
        <v>7.915</v>
      </c>
      <c r="B354">
        <v>19.5</v>
      </c>
    </row>
    <row r="355" spans="1:2" x14ac:dyDescent="0.25">
      <c r="A355">
        <v>5.9509999999999996</v>
      </c>
      <c r="B355">
        <v>24.09375</v>
      </c>
    </row>
    <row r="356" spans="1:2" x14ac:dyDescent="0.25">
      <c r="A356">
        <v>7.0919999999999996</v>
      </c>
      <c r="B356">
        <v>24.9375</v>
      </c>
    </row>
    <row r="357" spans="1:2" x14ac:dyDescent="0.25">
      <c r="A357">
        <v>8.3520000000000003</v>
      </c>
      <c r="B357">
        <v>25.693750000000001</v>
      </c>
    </row>
    <row r="358" spans="1:2" x14ac:dyDescent="0.25">
      <c r="A358">
        <v>8.3320000000000007</v>
      </c>
      <c r="B358">
        <v>21.024999999999999</v>
      </c>
    </row>
    <row r="359" spans="1:2" x14ac:dyDescent="0.25">
      <c r="A359">
        <v>8.3919999999999995</v>
      </c>
      <c r="B359">
        <v>19.106249999999999</v>
      </c>
    </row>
    <row r="360" spans="1:2" x14ac:dyDescent="0.25">
      <c r="A360">
        <v>7.62</v>
      </c>
      <c r="B360">
        <v>23.787500000000001</v>
      </c>
    </row>
    <row r="361" spans="1:2" x14ac:dyDescent="0.25">
      <c r="A361">
        <v>6.1920000000000002</v>
      </c>
      <c r="B361">
        <v>29.787500000000001</v>
      </c>
    </row>
    <row r="362" spans="1:2" x14ac:dyDescent="0.25">
      <c r="A362">
        <v>2.1480000000000001</v>
      </c>
      <c r="B362">
        <v>28.512499999999999</v>
      </c>
    </row>
    <row r="363" spans="1:2" x14ac:dyDescent="0.25">
      <c r="A363">
        <v>8.27</v>
      </c>
      <c r="B363">
        <v>19.618749999999999</v>
      </c>
    </row>
    <row r="364" spans="1:2" x14ac:dyDescent="0.25">
      <c r="A364">
        <v>4.6820000000000004</v>
      </c>
      <c r="B364">
        <v>16.45</v>
      </c>
    </row>
    <row r="365" spans="1:2" x14ac:dyDescent="0.25">
      <c r="A365">
        <v>3.4460000000000002</v>
      </c>
      <c r="B365">
        <v>15.612500000000001</v>
      </c>
    </row>
    <row r="366" spans="1:2" x14ac:dyDescent="0.25">
      <c r="A366">
        <v>6.33</v>
      </c>
      <c r="B366">
        <v>15.725</v>
      </c>
    </row>
    <row r="367" spans="1:2" x14ac:dyDescent="0.25">
      <c r="A367">
        <v>7.39</v>
      </c>
      <c r="B367">
        <v>18.5</v>
      </c>
    </row>
    <row r="368" spans="1:2" x14ac:dyDescent="0.25">
      <c r="A368">
        <v>4.524</v>
      </c>
      <c r="B368">
        <v>19.418749999999999</v>
      </c>
    </row>
    <row r="369" spans="1:2" x14ac:dyDescent="0.25">
      <c r="A369">
        <v>7.0279999999999996</v>
      </c>
      <c r="B369">
        <v>19.524999999999999</v>
      </c>
    </row>
    <row r="370" spans="1:2" x14ac:dyDescent="0.25">
      <c r="A370">
        <v>8.0719999999999992</v>
      </c>
      <c r="B370">
        <v>21.03125</v>
      </c>
    </row>
    <row r="371" spans="1:2" x14ac:dyDescent="0.25">
      <c r="A371">
        <v>8.2279999999999998</v>
      </c>
      <c r="B371">
        <v>23.931249999999999</v>
      </c>
    </row>
    <row r="372" spans="1:2" x14ac:dyDescent="0.25">
      <c r="A372">
        <v>8.2379999999999995</v>
      </c>
      <c r="B372">
        <v>28.037500000000001</v>
      </c>
    </row>
    <row r="373" spans="1:2" x14ac:dyDescent="0.25">
      <c r="A373">
        <v>8.2319999999999993</v>
      </c>
      <c r="B373">
        <v>30.893750000000001</v>
      </c>
    </row>
    <row r="374" spans="1:2" x14ac:dyDescent="0.25">
      <c r="A374">
        <v>8.2639999999999993</v>
      </c>
      <c r="B374">
        <v>33.087499999999999</v>
      </c>
    </row>
    <row r="375" spans="1:2" x14ac:dyDescent="0.25">
      <c r="A375">
        <v>7.8520000000000003</v>
      </c>
      <c r="B375">
        <v>24.78125</v>
      </c>
    </row>
    <row r="376" spans="1:2" x14ac:dyDescent="0.25">
      <c r="A376">
        <v>8.0559999999999992</v>
      </c>
      <c r="B376">
        <v>22.3125</v>
      </c>
    </row>
    <row r="377" spans="1:2" x14ac:dyDescent="0.25">
      <c r="A377">
        <v>8.1300000000000008</v>
      </c>
      <c r="B377">
        <v>27.443750000000001</v>
      </c>
    </row>
    <row r="378" spans="1:2" x14ac:dyDescent="0.25">
      <c r="A378">
        <v>7.524</v>
      </c>
      <c r="B378">
        <v>24.181249999999999</v>
      </c>
    </row>
    <row r="379" spans="1:2" x14ac:dyDescent="0.25">
      <c r="A379">
        <v>8.1679999999999993</v>
      </c>
      <c r="B379">
        <v>25.793749999999999</v>
      </c>
    </row>
    <row r="380" spans="1:2" x14ac:dyDescent="0.25">
      <c r="A380">
        <v>8.1140000000000008</v>
      </c>
      <c r="B380">
        <v>28.481249999999999</v>
      </c>
    </row>
    <row r="381" spans="1:2" x14ac:dyDescent="0.25">
      <c r="A381">
        <v>7.9580000000000002</v>
      </c>
      <c r="B381">
        <v>29.725010000000001</v>
      </c>
    </row>
    <row r="382" spans="1:2" x14ac:dyDescent="0.25">
      <c r="A382">
        <v>7.1020000000000003</v>
      </c>
      <c r="B382">
        <v>21.918749999999999</v>
      </c>
    </row>
    <row r="383" spans="1:2" x14ac:dyDescent="0.25">
      <c r="A383">
        <v>8.0139999999999993</v>
      </c>
      <c r="B383">
        <v>20.34375</v>
      </c>
    </row>
    <row r="384" spans="1:2" x14ac:dyDescent="0.25">
      <c r="A384">
        <v>7.66</v>
      </c>
      <c r="B384">
        <v>20.443750000000001</v>
      </c>
    </row>
    <row r="385" spans="1:2" x14ac:dyDescent="0.25">
      <c r="A385">
        <v>2.0760000000000001</v>
      </c>
      <c r="B385">
        <v>21.543749999999999</v>
      </c>
    </row>
    <row r="386" spans="1:2" x14ac:dyDescent="0.25">
      <c r="A386">
        <v>3.9540000000000002</v>
      </c>
      <c r="B386">
        <v>25.487500000000001</v>
      </c>
    </row>
    <row r="387" spans="1:2" x14ac:dyDescent="0.25">
      <c r="A387">
        <v>6.1379999999999999</v>
      </c>
      <c r="B387">
        <v>25.456250000000001</v>
      </c>
    </row>
    <row r="388" spans="1:2" x14ac:dyDescent="0.25">
      <c r="A388">
        <v>8.016</v>
      </c>
      <c r="B388">
        <v>26.487500000000001</v>
      </c>
    </row>
    <row r="389" spans="1:2" x14ac:dyDescent="0.25">
      <c r="A389">
        <v>8.0180000000000007</v>
      </c>
      <c r="B389">
        <v>26.131250000000001</v>
      </c>
    </row>
    <row r="390" spans="1:2" x14ac:dyDescent="0.25">
      <c r="A390">
        <v>6.8319999999999999</v>
      </c>
      <c r="B390">
        <v>27.462499999999999</v>
      </c>
    </row>
    <row r="391" spans="1:2" x14ac:dyDescent="0.25">
      <c r="A391">
        <v>7.718</v>
      </c>
      <c r="B391">
        <v>28.45</v>
      </c>
    </row>
    <row r="392" spans="1:2" x14ac:dyDescent="0.25">
      <c r="A392">
        <v>7.8239999999999998</v>
      </c>
      <c r="B392">
        <v>22.568750000000001</v>
      </c>
    </row>
    <row r="393" spans="1:2" x14ac:dyDescent="0.25">
      <c r="A393">
        <v>7.9580000000000002</v>
      </c>
      <c r="B393">
        <v>23.143750000000001</v>
      </c>
    </row>
    <row r="394" spans="1:2" x14ac:dyDescent="0.25">
      <c r="A394">
        <v>7.2380000000000004</v>
      </c>
      <c r="B394">
        <v>22.274999999999999</v>
      </c>
    </row>
    <row r="395" spans="1:2" x14ac:dyDescent="0.25">
      <c r="A395">
        <v>7.8460000000000001</v>
      </c>
      <c r="B395">
        <v>18.6875</v>
      </c>
    </row>
    <row r="396" spans="1:2" x14ac:dyDescent="0.25">
      <c r="A396">
        <v>7.8620000000000001</v>
      </c>
      <c r="B396">
        <v>18.1875</v>
      </c>
    </row>
    <row r="397" spans="1:2" x14ac:dyDescent="0.25">
      <c r="A397">
        <v>7.6379999999999999</v>
      </c>
      <c r="B397">
        <v>17.856249999999999</v>
      </c>
    </row>
    <row r="398" spans="1:2" x14ac:dyDescent="0.25">
      <c r="A398">
        <v>5.9359999999999999</v>
      </c>
      <c r="B398">
        <v>20.09375</v>
      </c>
    </row>
    <row r="399" spans="1:2" x14ac:dyDescent="0.25">
      <c r="A399">
        <v>6.9039999999999999</v>
      </c>
      <c r="B399">
        <v>20.675000000000001</v>
      </c>
    </row>
    <row r="400" spans="1:2" x14ac:dyDescent="0.25">
      <c r="A400">
        <v>7.34</v>
      </c>
      <c r="B400">
        <v>20.012499999999999</v>
      </c>
    </row>
    <row r="401" spans="1:2" x14ac:dyDescent="0.25">
      <c r="A401">
        <v>7.6440000000000001</v>
      </c>
      <c r="B401">
        <v>22.956250000000001</v>
      </c>
    </row>
    <row r="402" spans="1:2" x14ac:dyDescent="0.25">
      <c r="A402">
        <v>6.5540000000000003</v>
      </c>
      <c r="B402">
        <v>23.375</v>
      </c>
    </row>
    <row r="403" spans="1:2" x14ac:dyDescent="0.25">
      <c r="A403">
        <v>7.5759999999999996</v>
      </c>
      <c r="B403">
        <v>24.643750000000001</v>
      </c>
    </row>
    <row r="404" spans="1:2" x14ac:dyDescent="0.25">
      <c r="A404">
        <v>7.024</v>
      </c>
      <c r="B404">
        <v>26.381250000000001</v>
      </c>
    </row>
    <row r="405" spans="1:2" x14ac:dyDescent="0.25">
      <c r="A405">
        <v>6.2960000000000003</v>
      </c>
      <c r="B405">
        <v>27.737500000000001</v>
      </c>
    </row>
    <row r="406" spans="1:2" x14ac:dyDescent="0.25">
      <c r="A406">
        <v>7.4240000000000004</v>
      </c>
      <c r="B406">
        <v>20.943750000000001</v>
      </c>
    </row>
    <row r="407" spans="1:2" x14ac:dyDescent="0.25">
      <c r="A407">
        <v>7.4740000000000002</v>
      </c>
      <c r="B407">
        <v>18.818750000000001</v>
      </c>
    </row>
    <row r="408" spans="1:2" x14ac:dyDescent="0.25">
      <c r="A408">
        <v>7.48</v>
      </c>
      <c r="B408">
        <v>19.400010000000002</v>
      </c>
    </row>
    <row r="409" spans="1:2" x14ac:dyDescent="0.25">
      <c r="A409">
        <v>7.452</v>
      </c>
      <c r="B409">
        <v>22.581250000000001</v>
      </c>
    </row>
    <row r="410" spans="1:2" x14ac:dyDescent="0.25">
      <c r="A410">
        <v>7.4039999999999999</v>
      </c>
      <c r="B410">
        <v>20.637499999999999</v>
      </c>
    </row>
    <row r="411" spans="1:2" x14ac:dyDescent="0.25">
      <c r="A411">
        <v>7.3339999999999996</v>
      </c>
      <c r="B411">
        <v>23.506250000000001</v>
      </c>
    </row>
    <row r="412" spans="1:2" x14ac:dyDescent="0.25">
      <c r="A412">
        <v>7.2880000000000003</v>
      </c>
      <c r="B412">
        <v>27.262499999999999</v>
      </c>
    </row>
    <row r="413" spans="1:2" x14ac:dyDescent="0.25">
      <c r="A413">
        <v>7.24</v>
      </c>
      <c r="B413">
        <v>28.625</v>
      </c>
    </row>
    <row r="414" spans="1:2" x14ac:dyDescent="0.25">
      <c r="A414">
        <v>7.2080000000000002</v>
      </c>
      <c r="B414">
        <v>27.193750000000001</v>
      </c>
    </row>
    <row r="415" spans="1:2" x14ac:dyDescent="0.25">
      <c r="A415">
        <v>6.9180000000000001</v>
      </c>
      <c r="B415">
        <v>28.65625</v>
      </c>
    </row>
    <row r="416" spans="1:2" x14ac:dyDescent="0.25">
      <c r="A416">
        <v>6.258</v>
      </c>
      <c r="B416">
        <v>27.975000000000001</v>
      </c>
    </row>
    <row r="417" spans="1:2" x14ac:dyDescent="0.25">
      <c r="A417">
        <v>5.6859999999999999</v>
      </c>
      <c r="B417">
        <v>27.68751</v>
      </c>
    </row>
    <row r="418" spans="1:2" x14ac:dyDescent="0.25">
      <c r="A418">
        <v>6.226</v>
      </c>
      <c r="B418">
        <v>24.6875</v>
      </c>
    </row>
    <row r="419" spans="1:2" x14ac:dyDescent="0.25">
      <c r="A419">
        <v>7.0659999999999998</v>
      </c>
      <c r="B419">
        <v>24.53125</v>
      </c>
    </row>
    <row r="420" spans="1:2" x14ac:dyDescent="0.25">
      <c r="A420">
        <v>5.806</v>
      </c>
      <c r="B420">
        <v>21.425000000000001</v>
      </c>
    </row>
    <row r="421" spans="1:2" x14ac:dyDescent="0.25">
      <c r="A421">
        <v>5.8620000000000001</v>
      </c>
      <c r="B421">
        <v>20.55</v>
      </c>
    </row>
    <row r="422" spans="1:2" x14ac:dyDescent="0.25">
      <c r="A422">
        <v>6.6159999999999997</v>
      </c>
      <c r="B422">
        <v>25.212499999999999</v>
      </c>
    </row>
    <row r="423" spans="1:2" x14ac:dyDescent="0.25">
      <c r="A423">
        <v>6.5860000000000003</v>
      </c>
      <c r="B423">
        <v>24.675000000000001</v>
      </c>
    </row>
    <row r="424" spans="1:2" x14ac:dyDescent="0.25">
      <c r="A424">
        <v>5.556</v>
      </c>
      <c r="B424">
        <v>25.28125</v>
      </c>
    </row>
    <row r="425" spans="1:2" x14ac:dyDescent="0.25">
      <c r="A425">
        <v>5.41</v>
      </c>
      <c r="B425">
        <v>26.65</v>
      </c>
    </row>
    <row r="426" spans="1:2" x14ac:dyDescent="0.25">
      <c r="A426">
        <v>4.6100000000000003</v>
      </c>
      <c r="B426">
        <v>26.375</v>
      </c>
    </row>
    <row r="427" spans="1:2" x14ac:dyDescent="0.25">
      <c r="A427">
        <v>6.4279999999999999</v>
      </c>
      <c r="B427">
        <v>23.806260000000002</v>
      </c>
    </row>
    <row r="428" spans="1:2" x14ac:dyDescent="0.25">
      <c r="A428">
        <v>6.2919999999999998</v>
      </c>
      <c r="B428">
        <v>25.274999999999999</v>
      </c>
    </row>
    <row r="429" spans="1:2" x14ac:dyDescent="0.25">
      <c r="A429">
        <v>5.9619999999999997</v>
      </c>
      <c r="B429">
        <v>25.212499999999999</v>
      </c>
    </row>
    <row r="430" spans="1:2" x14ac:dyDescent="0.25">
      <c r="A430">
        <v>5.3440000000000003</v>
      </c>
      <c r="B430">
        <v>24.362500000000001</v>
      </c>
    </row>
    <row r="431" spans="1:2" x14ac:dyDescent="0.25">
      <c r="A431">
        <v>6.5380000000000003</v>
      </c>
      <c r="B431">
        <v>23.725000000000001</v>
      </c>
    </row>
    <row r="432" spans="1:2" x14ac:dyDescent="0.25">
      <c r="A432">
        <v>6.4820000000000002</v>
      </c>
      <c r="B432">
        <v>22.28125</v>
      </c>
    </row>
    <row r="433" spans="1:2" x14ac:dyDescent="0.25">
      <c r="A433">
        <v>6.4059999999999997</v>
      </c>
      <c r="B433">
        <v>22.993749999999999</v>
      </c>
    </row>
    <row r="434" spans="1:2" x14ac:dyDescent="0.25">
      <c r="A434">
        <v>6.1319999999999997</v>
      </c>
      <c r="B434">
        <v>20.131250000000001</v>
      </c>
    </row>
    <row r="435" spans="1:2" x14ac:dyDescent="0.25">
      <c r="A435">
        <v>1.6240000000000001</v>
      </c>
      <c r="B435">
        <v>21.143750000000001</v>
      </c>
    </row>
    <row r="436" spans="1:2" x14ac:dyDescent="0.25">
      <c r="A436">
        <v>5.1760000000000002</v>
      </c>
      <c r="B436">
        <v>22.53125</v>
      </c>
    </row>
    <row r="437" spans="1:2" x14ac:dyDescent="0.25">
      <c r="A437">
        <v>5.8620000000000001</v>
      </c>
      <c r="B437">
        <v>23.256250000000001</v>
      </c>
    </row>
    <row r="438" spans="1:2" x14ac:dyDescent="0.25">
      <c r="A438">
        <v>3.97</v>
      </c>
      <c r="B438">
        <v>22.8125</v>
      </c>
    </row>
    <row r="439" spans="1:2" x14ac:dyDescent="0.25">
      <c r="A439">
        <v>1.5760000000000001</v>
      </c>
      <c r="B439">
        <v>24.7</v>
      </c>
    </row>
    <row r="440" spans="1:2" x14ac:dyDescent="0.25">
      <c r="A440">
        <v>1.5620000000000001</v>
      </c>
      <c r="B440">
        <v>22.081250000000001</v>
      </c>
    </row>
    <row r="441" spans="1:2" x14ac:dyDescent="0.25">
      <c r="A441">
        <v>5.7640000000000002</v>
      </c>
      <c r="B441">
        <v>20.118749999999999</v>
      </c>
    </row>
    <row r="442" spans="1:2" x14ac:dyDescent="0.25">
      <c r="A442">
        <v>5.57</v>
      </c>
      <c r="B442">
        <v>21.675000000000001</v>
      </c>
    </row>
    <row r="443" spans="1:2" x14ac:dyDescent="0.25">
      <c r="A443">
        <v>5.35</v>
      </c>
      <c r="B443">
        <v>24.787500000000001</v>
      </c>
    </row>
    <row r="444" spans="1:2" x14ac:dyDescent="0.25">
      <c r="A444">
        <v>2.1219999999999999</v>
      </c>
      <c r="B444">
        <v>23.581250000000001</v>
      </c>
    </row>
    <row r="445" spans="1:2" x14ac:dyDescent="0.25">
      <c r="A445">
        <v>3.698</v>
      </c>
      <c r="B445">
        <v>22.006250000000001</v>
      </c>
    </row>
    <row r="446" spans="1:2" x14ac:dyDescent="0.25">
      <c r="A446">
        <v>5.7919999999999998</v>
      </c>
      <c r="B446">
        <v>20.65</v>
      </c>
    </row>
    <row r="447" spans="1:2" x14ac:dyDescent="0.25">
      <c r="A447">
        <v>4.3159999999999998</v>
      </c>
      <c r="B447">
        <v>23.456250000000001</v>
      </c>
    </row>
    <row r="448" spans="1:2" x14ac:dyDescent="0.25">
      <c r="A448">
        <v>3.242</v>
      </c>
      <c r="B448">
        <v>23.293749999999999</v>
      </c>
    </row>
    <row r="449" spans="1:2" x14ac:dyDescent="0.25">
      <c r="A449">
        <v>5.4960000000000004</v>
      </c>
      <c r="B449">
        <v>22.943750000000001</v>
      </c>
    </row>
    <row r="450" spans="1:2" x14ac:dyDescent="0.25">
      <c r="A450">
        <v>5.6059999999999999</v>
      </c>
      <c r="B450">
        <v>25.943750000000001</v>
      </c>
    </row>
    <row r="451" spans="1:2" x14ac:dyDescent="0.25">
      <c r="A451">
        <v>4.2759999999999998</v>
      </c>
      <c r="B451">
        <v>18.981249999999999</v>
      </c>
    </row>
    <row r="452" spans="1:2" x14ac:dyDescent="0.25">
      <c r="A452">
        <v>3.2480000000000002</v>
      </c>
      <c r="B452">
        <v>16.193750000000001</v>
      </c>
    </row>
    <row r="453" spans="1:2" x14ac:dyDescent="0.25">
      <c r="A453">
        <v>1.4019999999999999</v>
      </c>
      <c r="B453">
        <v>20.862500000000001</v>
      </c>
    </row>
    <row r="454" spans="1:2" x14ac:dyDescent="0.25">
      <c r="A454">
        <v>4.7060000000000004</v>
      </c>
      <c r="B454">
        <v>24.618749999999999</v>
      </c>
    </row>
    <row r="455" spans="1:2" x14ac:dyDescent="0.25">
      <c r="A455">
        <v>5.1280000000000001</v>
      </c>
      <c r="B455">
        <v>25.4</v>
      </c>
    </row>
    <row r="456" spans="1:2" x14ac:dyDescent="0.25">
      <c r="A456">
        <v>4.1639999999999997</v>
      </c>
      <c r="B456">
        <v>18.524999999999999</v>
      </c>
    </row>
    <row r="457" spans="1:2" x14ac:dyDescent="0.25">
      <c r="A457">
        <v>4.8499999999999996</v>
      </c>
      <c r="B457">
        <v>22.59375</v>
      </c>
    </row>
    <row r="458" spans="1:2" x14ac:dyDescent="0.25">
      <c r="A458">
        <v>4.0739999999999998</v>
      </c>
      <c r="B458">
        <v>21.368749999999999</v>
      </c>
    </row>
    <row r="459" spans="1:2" x14ac:dyDescent="0.25">
      <c r="A459">
        <v>5.0679999999999996</v>
      </c>
      <c r="B459">
        <v>20.387499999999999</v>
      </c>
    </row>
    <row r="460" spans="1:2" x14ac:dyDescent="0.25">
      <c r="A460">
        <v>4.4640000000000004</v>
      </c>
      <c r="B460">
        <v>20.956250000000001</v>
      </c>
    </row>
    <row r="461" spans="1:2" x14ac:dyDescent="0.25">
      <c r="A461">
        <v>4.4459999999999997</v>
      </c>
      <c r="B461">
        <v>21.537500000000001</v>
      </c>
    </row>
    <row r="462" spans="1:2" x14ac:dyDescent="0.25">
      <c r="A462">
        <v>4.742</v>
      </c>
      <c r="B462">
        <v>18.100000000000001</v>
      </c>
    </row>
    <row r="463" spans="1:2" x14ac:dyDescent="0.25">
      <c r="A463">
        <v>4.9480000000000004</v>
      </c>
      <c r="B463">
        <v>20.3</v>
      </c>
    </row>
    <row r="464" spans="1:2" x14ac:dyDescent="0.25">
      <c r="A464">
        <v>4.4320000000000004</v>
      </c>
      <c r="B464">
        <v>22.2</v>
      </c>
    </row>
    <row r="465" spans="1:2" x14ac:dyDescent="0.25">
      <c r="A465">
        <v>4.3179999999999996</v>
      </c>
      <c r="B465">
        <v>23.556249999999999</v>
      </c>
    </row>
    <row r="466" spans="1:2" x14ac:dyDescent="0.25">
      <c r="A466">
        <v>4.0179999999999998</v>
      </c>
      <c r="B466">
        <v>23.7</v>
      </c>
    </row>
    <row r="467" spans="1:2" x14ac:dyDescent="0.25">
      <c r="A467">
        <v>4.798</v>
      </c>
      <c r="B467">
        <v>23.112500000000001</v>
      </c>
    </row>
    <row r="468" spans="1:2" x14ac:dyDescent="0.25">
      <c r="A468">
        <v>3.1480000000000001</v>
      </c>
      <c r="B468">
        <v>23.131250000000001</v>
      </c>
    </row>
    <row r="469" spans="1:2" x14ac:dyDescent="0.25">
      <c r="A469">
        <v>3.456</v>
      </c>
      <c r="B469">
        <v>21.487500000000001</v>
      </c>
    </row>
    <row r="470" spans="1:2" x14ac:dyDescent="0.25">
      <c r="A470">
        <v>2.7120000000000002</v>
      </c>
      <c r="B470">
        <v>20.96875</v>
      </c>
    </row>
    <row r="471" spans="1:2" x14ac:dyDescent="0.25">
      <c r="A471">
        <v>4.3259999999999996</v>
      </c>
      <c r="B471">
        <v>20.65</v>
      </c>
    </row>
    <row r="472" spans="1:2" x14ac:dyDescent="0.25">
      <c r="A472">
        <v>4.3079999999999998</v>
      </c>
      <c r="B472">
        <v>19.9375</v>
      </c>
    </row>
    <row r="473" spans="1:2" x14ac:dyDescent="0.25">
      <c r="A473">
        <v>2.2360000000000002</v>
      </c>
      <c r="B473">
        <v>15.4125</v>
      </c>
    </row>
    <row r="474" spans="1:2" x14ac:dyDescent="0.25">
      <c r="A474">
        <v>3.5550000000000002</v>
      </c>
      <c r="B474">
        <v>13.36875</v>
      </c>
    </row>
    <row r="475" spans="1:2" x14ac:dyDescent="0.25">
      <c r="A475">
        <v>2.9630000000000001</v>
      </c>
      <c r="B475">
        <v>14.3375</v>
      </c>
    </row>
    <row r="476" spans="1:2" x14ac:dyDescent="0.25">
      <c r="A476">
        <v>3.47</v>
      </c>
      <c r="B476">
        <v>14.63125</v>
      </c>
    </row>
    <row r="477" spans="1:2" x14ac:dyDescent="0.25">
      <c r="A477">
        <v>3.395</v>
      </c>
      <c r="B477">
        <v>16.375</v>
      </c>
    </row>
    <row r="478" spans="1:2" x14ac:dyDescent="0.25">
      <c r="A478">
        <v>2.1989999999999998</v>
      </c>
      <c r="B478">
        <v>15.643750000000001</v>
      </c>
    </row>
    <row r="479" spans="1:2" x14ac:dyDescent="0.25">
      <c r="A479">
        <v>4.0049999999999999</v>
      </c>
      <c r="B479">
        <v>17.643750000000001</v>
      </c>
    </row>
    <row r="480" spans="1:2" x14ac:dyDescent="0.25">
      <c r="A480">
        <v>4.1609999999999996</v>
      </c>
      <c r="B480">
        <v>18.518750000000001</v>
      </c>
    </row>
    <row r="481" spans="1:2" x14ac:dyDescent="0.25">
      <c r="A481">
        <v>1.5649999999999999</v>
      </c>
      <c r="B481">
        <v>19.018750000000001</v>
      </c>
    </row>
    <row r="482" spans="1:2" x14ac:dyDescent="0.25">
      <c r="A482">
        <v>2.7269999999999999</v>
      </c>
      <c r="B482">
        <v>14.775</v>
      </c>
    </row>
    <row r="483" spans="1:2" x14ac:dyDescent="0.25">
      <c r="A483">
        <v>3.9119999999999999</v>
      </c>
      <c r="B483">
        <v>15.975</v>
      </c>
    </row>
    <row r="484" spans="1:2" x14ac:dyDescent="0.25">
      <c r="A484">
        <v>1.111</v>
      </c>
      <c r="B484">
        <v>13.606249999999999</v>
      </c>
    </row>
    <row r="485" spans="1:2" x14ac:dyDescent="0.25">
      <c r="A485">
        <v>1.407</v>
      </c>
      <c r="B485">
        <v>13.643750000000001</v>
      </c>
    </row>
    <row r="486" spans="1:2" x14ac:dyDescent="0.25">
      <c r="A486">
        <v>1.395</v>
      </c>
      <c r="B486">
        <v>12.65625</v>
      </c>
    </row>
    <row r="487" spans="1:2" x14ac:dyDescent="0.25">
      <c r="A487">
        <v>3.4009999999999998</v>
      </c>
      <c r="B487">
        <v>12.512499999999999</v>
      </c>
    </row>
    <row r="488" spans="1:2" x14ac:dyDescent="0.25">
      <c r="A488">
        <v>2.46</v>
      </c>
      <c r="B488">
        <v>13.05</v>
      </c>
    </row>
    <row r="489" spans="1:2" x14ac:dyDescent="0.25">
      <c r="A489">
        <v>3.0169999999999999</v>
      </c>
      <c r="B489">
        <v>14.09375</v>
      </c>
    </row>
    <row r="490" spans="1:2" x14ac:dyDescent="0.25">
      <c r="A490">
        <v>2.6280000000000001</v>
      </c>
      <c r="B490">
        <v>13.4625</v>
      </c>
    </row>
    <row r="491" spans="1:2" x14ac:dyDescent="0.25">
      <c r="A491">
        <v>2.1419999999999999</v>
      </c>
      <c r="B491">
        <v>13.324999999999999</v>
      </c>
    </row>
    <row r="492" spans="1:2" x14ac:dyDescent="0.25">
      <c r="A492">
        <v>2.0409999999999999</v>
      </c>
      <c r="B492">
        <v>13.5875</v>
      </c>
    </row>
    <row r="493" spans="1:2" x14ac:dyDescent="0.25">
      <c r="A493">
        <v>3.6720000000000002</v>
      </c>
      <c r="B493">
        <v>14.168749999999999</v>
      </c>
    </row>
    <row r="494" spans="1:2" x14ac:dyDescent="0.25">
      <c r="A494">
        <v>2.851</v>
      </c>
      <c r="B494">
        <v>12.525</v>
      </c>
    </row>
    <row r="495" spans="1:2" x14ac:dyDescent="0.25">
      <c r="A495">
        <v>2.286</v>
      </c>
      <c r="B495">
        <v>12.643750000000001</v>
      </c>
    </row>
    <row r="496" spans="1:2" x14ac:dyDescent="0.25">
      <c r="A496">
        <v>2.649</v>
      </c>
      <c r="B496">
        <v>12.8</v>
      </c>
    </row>
    <row r="497" spans="1:2" x14ac:dyDescent="0.25">
      <c r="A497">
        <v>3.0270000000000001</v>
      </c>
      <c r="B497">
        <v>13.25625</v>
      </c>
    </row>
    <row r="498" spans="1:2" x14ac:dyDescent="0.25">
      <c r="A498">
        <v>3.26</v>
      </c>
      <c r="B498">
        <v>14.975</v>
      </c>
    </row>
    <row r="499" spans="1:2" x14ac:dyDescent="0.25">
      <c r="A499">
        <v>3.05</v>
      </c>
      <c r="B499">
        <v>14.99375</v>
      </c>
    </row>
    <row r="500" spans="1:2" x14ac:dyDescent="0.25">
      <c r="A500">
        <v>2.101</v>
      </c>
      <c r="B500">
        <v>11.86875</v>
      </c>
    </row>
    <row r="501" spans="1:2" x14ac:dyDescent="0.25">
      <c r="A501">
        <v>3.347</v>
      </c>
      <c r="B501">
        <v>10.831250000000001</v>
      </c>
    </row>
    <row r="502" spans="1:2" x14ac:dyDescent="0.25">
      <c r="A502">
        <v>1.7509999999999999</v>
      </c>
      <c r="B502">
        <v>11.38125</v>
      </c>
    </row>
    <row r="503" spans="1:2" x14ac:dyDescent="0.25">
      <c r="A503">
        <v>1.786</v>
      </c>
      <c r="B503">
        <v>12.80625</v>
      </c>
    </row>
    <row r="504" spans="1:2" x14ac:dyDescent="0.25">
      <c r="A504">
        <v>2.754</v>
      </c>
      <c r="B504">
        <v>13.2125</v>
      </c>
    </row>
    <row r="505" spans="1:2" x14ac:dyDescent="0.25">
      <c r="A505">
        <v>1.845</v>
      </c>
      <c r="B505">
        <v>13.81875</v>
      </c>
    </row>
    <row r="506" spans="1:2" x14ac:dyDescent="0.25">
      <c r="A506">
        <v>2.2989999999999999</v>
      </c>
      <c r="B506">
        <v>13.043749999999999</v>
      </c>
    </row>
    <row r="507" spans="1:2" x14ac:dyDescent="0.25">
      <c r="A507">
        <v>1.111</v>
      </c>
      <c r="B507">
        <v>12.887499999999999</v>
      </c>
    </row>
    <row r="508" spans="1:2" x14ac:dyDescent="0.25">
      <c r="A508">
        <v>1.8859999999999999</v>
      </c>
      <c r="B508">
        <v>13.18125</v>
      </c>
    </row>
    <row r="509" spans="1:2" x14ac:dyDescent="0.25">
      <c r="A509">
        <v>1.256</v>
      </c>
      <c r="B509">
        <v>12.25</v>
      </c>
    </row>
    <row r="510" spans="1:2" x14ac:dyDescent="0.25">
      <c r="A510">
        <v>2.3780000000000001</v>
      </c>
      <c r="B510">
        <v>14.856249999999999</v>
      </c>
    </row>
    <row r="511" spans="1:2" x14ac:dyDescent="0.25">
      <c r="A511">
        <v>1.694</v>
      </c>
      <c r="B511">
        <v>12.21875</v>
      </c>
    </row>
    <row r="512" spans="1:2" x14ac:dyDescent="0.25">
      <c r="A512">
        <v>1.1120000000000001</v>
      </c>
      <c r="B512">
        <v>8.7500009999999993</v>
      </c>
    </row>
    <row r="513" spans="1:2" x14ac:dyDescent="0.25">
      <c r="A513">
        <v>1.1100000000000001</v>
      </c>
      <c r="B513">
        <v>9.9562519999999992</v>
      </c>
    </row>
    <row r="514" spans="1:2" x14ac:dyDescent="0.25">
      <c r="A514">
        <v>1.1120000000000001</v>
      </c>
      <c r="B514">
        <v>9.4812510000000003</v>
      </c>
    </row>
    <row r="515" spans="1:2" x14ac:dyDescent="0.25">
      <c r="A515">
        <v>1.2869999999999999</v>
      </c>
      <c r="B515">
        <v>9.8312500000000007</v>
      </c>
    </row>
    <row r="516" spans="1:2" x14ac:dyDescent="0.25">
      <c r="A516">
        <v>1.1120000000000001</v>
      </c>
      <c r="B516">
        <v>11.15625</v>
      </c>
    </row>
    <row r="517" spans="1:2" x14ac:dyDescent="0.25">
      <c r="A517">
        <v>2.6080000000000001</v>
      </c>
      <c r="B517">
        <v>10.55</v>
      </c>
    </row>
    <row r="518" spans="1:2" x14ac:dyDescent="0.25">
      <c r="A518">
        <v>2.0499999999999998</v>
      </c>
      <c r="B518">
        <v>9.3500010000000007</v>
      </c>
    </row>
    <row r="519" spans="1:2" x14ac:dyDescent="0.25">
      <c r="A519">
        <v>2.266</v>
      </c>
      <c r="B519">
        <v>11.15</v>
      </c>
    </row>
    <row r="520" spans="1:2" x14ac:dyDescent="0.25">
      <c r="A520">
        <v>2.1030000000000002</v>
      </c>
      <c r="B520">
        <v>13.074999999999999</v>
      </c>
    </row>
    <row r="521" spans="1:2" x14ac:dyDescent="0.25">
      <c r="A521">
        <v>1.18</v>
      </c>
      <c r="B521">
        <v>11.275</v>
      </c>
    </row>
    <row r="522" spans="1:2" x14ac:dyDescent="0.25">
      <c r="A522">
        <v>2.3159999999999998</v>
      </c>
      <c r="B522">
        <v>10.606249999999999</v>
      </c>
    </row>
    <row r="523" spans="1:2" x14ac:dyDescent="0.25">
      <c r="A523">
        <v>1.8979999999999999</v>
      </c>
      <c r="B523">
        <v>12.824999999999999</v>
      </c>
    </row>
    <row r="524" spans="1:2" x14ac:dyDescent="0.25">
      <c r="A524">
        <v>1.702</v>
      </c>
      <c r="B524">
        <v>12.36875</v>
      </c>
    </row>
    <row r="525" spans="1:2" x14ac:dyDescent="0.25">
      <c r="A525">
        <v>2.883</v>
      </c>
      <c r="B525">
        <v>12.762499999999999</v>
      </c>
    </row>
    <row r="526" spans="1:2" x14ac:dyDescent="0.25">
      <c r="A526">
        <v>2.5649999999999999</v>
      </c>
      <c r="B526">
        <v>10.074999999999999</v>
      </c>
    </row>
    <row r="527" spans="1:2" x14ac:dyDescent="0.25">
      <c r="A527">
        <v>1.6859999999999999</v>
      </c>
      <c r="B527">
        <v>9.9625020000000006</v>
      </c>
    </row>
    <row r="528" spans="1:2" x14ac:dyDescent="0.25">
      <c r="A528">
        <v>2.8359999999999999</v>
      </c>
      <c r="B528">
        <v>9.2687519999999992</v>
      </c>
    </row>
    <row r="529" spans="1:2" x14ac:dyDescent="0.25">
      <c r="A529">
        <v>2.964</v>
      </c>
      <c r="B529">
        <v>8.3437509999999993</v>
      </c>
    </row>
    <row r="530" spans="1:2" x14ac:dyDescent="0.25">
      <c r="A530">
        <v>2.48</v>
      </c>
      <c r="B530">
        <v>10.4</v>
      </c>
    </row>
    <row r="531" spans="1:2" x14ac:dyDescent="0.25">
      <c r="A531">
        <v>1.1100000000000001</v>
      </c>
      <c r="B531">
        <v>10.918749999999999</v>
      </c>
    </row>
    <row r="532" spans="1:2" x14ac:dyDescent="0.25">
      <c r="A532">
        <v>2.16</v>
      </c>
      <c r="B532">
        <v>11.45</v>
      </c>
    </row>
    <row r="533" spans="1:2" x14ac:dyDescent="0.25">
      <c r="A533">
        <v>1.8520000000000001</v>
      </c>
      <c r="B533">
        <v>9.4312509999999996</v>
      </c>
    </row>
    <row r="534" spans="1:2" x14ac:dyDescent="0.25">
      <c r="A534">
        <v>2.7480000000000002</v>
      </c>
      <c r="B534">
        <v>8.1624999999999996</v>
      </c>
    </row>
    <row r="535" spans="1:2" x14ac:dyDescent="0.25">
      <c r="A535">
        <v>1.1120000000000001</v>
      </c>
      <c r="B535">
        <v>7.3812499999999996</v>
      </c>
    </row>
    <row r="536" spans="1:2" x14ac:dyDescent="0.25">
      <c r="A536">
        <v>1.3260000000000001</v>
      </c>
      <c r="B536">
        <v>9.9749990000000004</v>
      </c>
    </row>
    <row r="537" spans="1:2" x14ac:dyDescent="0.25">
      <c r="A537">
        <v>1.1120000000000001</v>
      </c>
      <c r="B537">
        <v>11.5</v>
      </c>
    </row>
    <row r="538" spans="1:2" x14ac:dyDescent="0.25">
      <c r="A538">
        <v>1.1120000000000001</v>
      </c>
      <c r="B538">
        <v>10.94375</v>
      </c>
    </row>
    <row r="539" spans="1:2" x14ac:dyDescent="0.25">
      <c r="A539">
        <v>2.8460000000000001</v>
      </c>
      <c r="B539">
        <v>8.4125010000000007</v>
      </c>
    </row>
    <row r="540" spans="1:2" x14ac:dyDescent="0.25">
      <c r="A540">
        <v>2.78</v>
      </c>
      <c r="B540">
        <v>8.3687509999999996</v>
      </c>
    </row>
    <row r="541" spans="1:2" x14ac:dyDescent="0.25">
      <c r="A541">
        <v>1.1120000000000001</v>
      </c>
      <c r="B541">
        <v>6.8687509999999996</v>
      </c>
    </row>
    <row r="542" spans="1:2" x14ac:dyDescent="0.25">
      <c r="A542">
        <v>1.1100000000000001</v>
      </c>
      <c r="B542">
        <v>6.5125000000000002</v>
      </c>
    </row>
    <row r="543" spans="1:2" x14ac:dyDescent="0.25">
      <c r="A543">
        <v>1.9059999999999999</v>
      </c>
      <c r="B543">
        <v>10.53125</v>
      </c>
    </row>
    <row r="544" spans="1:2" x14ac:dyDescent="0.25">
      <c r="A544">
        <v>1.1100000000000001</v>
      </c>
      <c r="B544">
        <v>11.487500000000001</v>
      </c>
    </row>
    <row r="545" spans="1:2" x14ac:dyDescent="0.25">
      <c r="A545">
        <v>2.6720000000000002</v>
      </c>
      <c r="B545">
        <v>10.00625</v>
      </c>
    </row>
    <row r="546" spans="1:2" x14ac:dyDescent="0.25">
      <c r="A546">
        <v>1.1100000000000001</v>
      </c>
      <c r="B546">
        <v>9.6937499999999996</v>
      </c>
    </row>
    <row r="547" spans="1:2" x14ac:dyDescent="0.25">
      <c r="A547">
        <v>1.994</v>
      </c>
      <c r="B547">
        <v>6.331251</v>
      </c>
    </row>
    <row r="548" spans="1:2" x14ac:dyDescent="0.25">
      <c r="A548">
        <v>1.1120000000000001</v>
      </c>
      <c r="B548">
        <v>5.2937510000000003</v>
      </c>
    </row>
    <row r="549" spans="1:2" x14ac:dyDescent="0.25">
      <c r="A549">
        <v>1.1120000000000001</v>
      </c>
      <c r="B549">
        <v>7.3875000000000002</v>
      </c>
    </row>
    <row r="550" spans="1:2" x14ac:dyDescent="0.25">
      <c r="A550">
        <v>1.1120000000000001</v>
      </c>
      <c r="B550">
        <v>8.375</v>
      </c>
    </row>
    <row r="551" spans="1:2" x14ac:dyDescent="0.25">
      <c r="A551">
        <v>2.2320000000000002</v>
      </c>
      <c r="B551">
        <v>10.643750000000001</v>
      </c>
    </row>
    <row r="552" spans="1:2" x14ac:dyDescent="0.25">
      <c r="A552">
        <v>2.02</v>
      </c>
      <c r="B552">
        <v>8.4000009999999996</v>
      </c>
    </row>
    <row r="553" spans="1:2" x14ac:dyDescent="0.25">
      <c r="A553">
        <v>2.5579999999999998</v>
      </c>
      <c r="B553">
        <v>7.45</v>
      </c>
    </row>
    <row r="554" spans="1:2" x14ac:dyDescent="0.25">
      <c r="A554">
        <v>3.0619999999999998</v>
      </c>
      <c r="B554">
        <v>7.4937500000000004</v>
      </c>
    </row>
    <row r="555" spans="1:2" x14ac:dyDescent="0.25">
      <c r="A555">
        <v>2.6840000000000002</v>
      </c>
      <c r="B555">
        <v>9.1625010000000007</v>
      </c>
    </row>
    <row r="556" spans="1:2" x14ac:dyDescent="0.25">
      <c r="A556">
        <v>1.1120000000000001</v>
      </c>
      <c r="B556">
        <v>9.8875019999999996</v>
      </c>
    </row>
    <row r="557" spans="1:2" x14ac:dyDescent="0.25">
      <c r="A557">
        <v>1.26</v>
      </c>
      <c r="B557">
        <v>8.6875009999999993</v>
      </c>
    </row>
    <row r="558" spans="1:2" x14ac:dyDescent="0.25">
      <c r="A558">
        <v>2.2120000000000002</v>
      </c>
      <c r="B558">
        <v>10.9375</v>
      </c>
    </row>
    <row r="559" spans="1:2" x14ac:dyDescent="0.25">
      <c r="A559">
        <v>2.9180000000000001</v>
      </c>
      <c r="B559">
        <v>9.2437520000000006</v>
      </c>
    </row>
    <row r="560" spans="1:2" x14ac:dyDescent="0.25">
      <c r="A560">
        <v>2.6059999999999999</v>
      </c>
      <c r="B560">
        <v>9.7187509999999993</v>
      </c>
    </row>
    <row r="561" spans="1:2" x14ac:dyDescent="0.25">
      <c r="A561">
        <v>3.1840000000000002</v>
      </c>
      <c r="B561">
        <v>12.43125</v>
      </c>
    </row>
    <row r="562" spans="1:2" x14ac:dyDescent="0.25">
      <c r="A562">
        <v>3.2120000000000002</v>
      </c>
      <c r="B562">
        <v>11.05625</v>
      </c>
    </row>
    <row r="563" spans="1:2" x14ac:dyDescent="0.25">
      <c r="A563">
        <v>1.224</v>
      </c>
      <c r="B563">
        <v>10.112500000000001</v>
      </c>
    </row>
    <row r="564" spans="1:2" x14ac:dyDescent="0.25">
      <c r="A564">
        <v>2.0579999999999998</v>
      </c>
      <c r="B564">
        <v>9.862501</v>
      </c>
    </row>
    <row r="565" spans="1:2" x14ac:dyDescent="0.25">
      <c r="A565">
        <v>3.016</v>
      </c>
      <c r="B565">
        <v>9.8562510000000003</v>
      </c>
    </row>
    <row r="566" spans="1:2" x14ac:dyDescent="0.25">
      <c r="A566">
        <v>2.4620000000000002</v>
      </c>
      <c r="B566">
        <v>10.612500000000001</v>
      </c>
    </row>
    <row r="567" spans="1:2" x14ac:dyDescent="0.25">
      <c r="A567">
        <v>2.0960000000000001</v>
      </c>
      <c r="B567">
        <v>8.3875010000000003</v>
      </c>
    </row>
    <row r="568" spans="1:2" x14ac:dyDescent="0.25">
      <c r="A568">
        <v>2.7320000000000002</v>
      </c>
      <c r="B568">
        <v>7.9187510000000003</v>
      </c>
    </row>
    <row r="569" spans="1:2" x14ac:dyDescent="0.25">
      <c r="A569">
        <v>2.9220000000000002</v>
      </c>
      <c r="B569">
        <v>7.3687509999999996</v>
      </c>
    </row>
    <row r="570" spans="1:2" x14ac:dyDescent="0.25">
      <c r="A570">
        <v>3.242</v>
      </c>
      <c r="B570">
        <v>7.4249999999999998</v>
      </c>
    </row>
    <row r="571" spans="1:2" x14ac:dyDescent="0.25">
      <c r="A571">
        <v>2.786</v>
      </c>
      <c r="B571">
        <v>8.2000010000000003</v>
      </c>
    </row>
    <row r="572" spans="1:2" x14ac:dyDescent="0.25">
      <c r="A572">
        <v>1.9339999999999999</v>
      </c>
      <c r="B572">
        <v>8.143751</v>
      </c>
    </row>
    <row r="573" spans="1:2" x14ac:dyDescent="0.25">
      <c r="A573">
        <v>1.458</v>
      </c>
      <c r="B573">
        <v>9.3937519999999992</v>
      </c>
    </row>
    <row r="574" spans="1:2" x14ac:dyDescent="0.25">
      <c r="A574">
        <v>2.1960000000000002</v>
      </c>
      <c r="B574">
        <v>8.1500009999999996</v>
      </c>
    </row>
    <row r="575" spans="1:2" x14ac:dyDescent="0.25">
      <c r="A575">
        <v>3.2360000000000002</v>
      </c>
      <c r="B575">
        <v>7.1937499999999996</v>
      </c>
    </row>
    <row r="576" spans="1:2" x14ac:dyDescent="0.25">
      <c r="A576">
        <v>2.794</v>
      </c>
      <c r="B576">
        <v>7.581251</v>
      </c>
    </row>
    <row r="577" spans="1:2" x14ac:dyDescent="0.25">
      <c r="A577">
        <v>2.3359999999999999</v>
      </c>
      <c r="B577">
        <v>10.8</v>
      </c>
    </row>
    <row r="578" spans="1:2" x14ac:dyDescent="0.25">
      <c r="A578">
        <v>2.9660000000000002</v>
      </c>
      <c r="B578">
        <v>12.61875</v>
      </c>
    </row>
    <row r="579" spans="1:2" x14ac:dyDescent="0.25">
      <c r="A579">
        <v>2.5059999999999998</v>
      </c>
      <c r="B579">
        <v>9.7250019999999999</v>
      </c>
    </row>
    <row r="580" spans="1:2" x14ac:dyDescent="0.25">
      <c r="A580">
        <v>3.0139999999999998</v>
      </c>
      <c r="B580">
        <v>10.356249999999999</v>
      </c>
    </row>
    <row r="581" spans="1:2" x14ac:dyDescent="0.25">
      <c r="A581">
        <v>2.8439999999999999</v>
      </c>
      <c r="B581">
        <v>9.925001</v>
      </c>
    </row>
    <row r="582" spans="1:2" x14ac:dyDescent="0.25">
      <c r="A582">
        <v>3.024</v>
      </c>
      <c r="B582">
        <v>10.050000000000001</v>
      </c>
    </row>
    <row r="583" spans="1:2" x14ac:dyDescent="0.25">
      <c r="A583">
        <v>3.4740000000000002</v>
      </c>
      <c r="B583">
        <v>10.425000000000001</v>
      </c>
    </row>
    <row r="584" spans="1:2" x14ac:dyDescent="0.25">
      <c r="A584">
        <v>3.1680000000000001</v>
      </c>
      <c r="B584">
        <v>10.15</v>
      </c>
    </row>
    <row r="585" spans="1:2" x14ac:dyDescent="0.25">
      <c r="A585">
        <v>1.1120000000000001</v>
      </c>
      <c r="B585">
        <v>9.8687520000000006</v>
      </c>
    </row>
    <row r="586" spans="1:2" x14ac:dyDescent="0.25">
      <c r="A586">
        <v>2.5960000000000001</v>
      </c>
      <c r="B586">
        <v>7.175001</v>
      </c>
    </row>
    <row r="587" spans="1:2" x14ac:dyDescent="0.25">
      <c r="A587">
        <v>1.8280000000000001</v>
      </c>
      <c r="B587">
        <v>11.831250000000001</v>
      </c>
    </row>
    <row r="588" spans="1:2" x14ac:dyDescent="0.25">
      <c r="A588">
        <v>2.3119999999999998</v>
      </c>
      <c r="B588">
        <v>10.275</v>
      </c>
    </row>
    <row r="589" spans="1:2" x14ac:dyDescent="0.25">
      <c r="A589">
        <v>3.2080000000000002</v>
      </c>
      <c r="B589">
        <v>8.6062510000000003</v>
      </c>
    </row>
    <row r="590" spans="1:2" x14ac:dyDescent="0.25">
      <c r="A590">
        <v>3.6859999999999999</v>
      </c>
      <c r="B590">
        <v>8.3125009999999993</v>
      </c>
    </row>
    <row r="591" spans="1:2" x14ac:dyDescent="0.25">
      <c r="A591">
        <v>1.274</v>
      </c>
      <c r="B591">
        <v>8.1187509999999996</v>
      </c>
    </row>
    <row r="592" spans="1:2" x14ac:dyDescent="0.25">
      <c r="A592">
        <v>3.48</v>
      </c>
      <c r="B592">
        <v>8.1500009999999996</v>
      </c>
    </row>
    <row r="593" spans="1:2" x14ac:dyDescent="0.25">
      <c r="A593">
        <v>2.5619999999999998</v>
      </c>
      <c r="B593">
        <v>8.7687519999999992</v>
      </c>
    </row>
    <row r="594" spans="1:2" x14ac:dyDescent="0.25">
      <c r="A594">
        <v>3.47</v>
      </c>
      <c r="B594">
        <v>7.4</v>
      </c>
    </row>
    <row r="595" spans="1:2" x14ac:dyDescent="0.25">
      <c r="A595">
        <v>4.1260000000000003</v>
      </c>
      <c r="B595">
        <v>7.581251</v>
      </c>
    </row>
    <row r="596" spans="1:2" x14ac:dyDescent="0.25">
      <c r="A596">
        <v>1.3340000000000001</v>
      </c>
      <c r="B596">
        <v>8.9625009999999996</v>
      </c>
    </row>
    <row r="597" spans="1:2" x14ac:dyDescent="0.25">
      <c r="A597">
        <v>3.6539999999999999</v>
      </c>
      <c r="B597">
        <v>11.668749999999999</v>
      </c>
    </row>
    <row r="598" spans="1:2" x14ac:dyDescent="0.25">
      <c r="A598">
        <v>2.3919999999999999</v>
      </c>
      <c r="B598">
        <v>12.80625</v>
      </c>
    </row>
    <row r="599" spans="1:2" x14ac:dyDescent="0.25">
      <c r="A599">
        <v>4.0960000000000001</v>
      </c>
      <c r="B599">
        <v>13.93125</v>
      </c>
    </row>
    <row r="600" spans="1:2" x14ac:dyDescent="0.25">
      <c r="A600">
        <v>2.6440000000000001</v>
      </c>
      <c r="B600">
        <v>13.34375</v>
      </c>
    </row>
    <row r="601" spans="1:2" x14ac:dyDescent="0.25">
      <c r="A601">
        <v>3.9820000000000002</v>
      </c>
      <c r="B601">
        <v>13.231249999999999</v>
      </c>
    </row>
    <row r="602" spans="1:2" x14ac:dyDescent="0.25">
      <c r="A602">
        <v>2.3780000000000001</v>
      </c>
      <c r="B602">
        <v>10.375</v>
      </c>
    </row>
    <row r="603" spans="1:2" x14ac:dyDescent="0.25">
      <c r="A603">
        <v>3.38</v>
      </c>
      <c r="B603">
        <v>8.2000010000000003</v>
      </c>
    </row>
    <row r="604" spans="1:2" x14ac:dyDescent="0.25">
      <c r="A604">
        <v>4.2060000000000004</v>
      </c>
      <c r="B604">
        <v>8.112501</v>
      </c>
    </row>
    <row r="605" spans="1:2" x14ac:dyDescent="0.25">
      <c r="A605">
        <v>4.26</v>
      </c>
      <c r="B605">
        <v>8.5000009999999993</v>
      </c>
    </row>
    <row r="606" spans="1:2" x14ac:dyDescent="0.25">
      <c r="A606">
        <v>1.194</v>
      </c>
      <c r="B606">
        <v>13.09375</v>
      </c>
    </row>
    <row r="607" spans="1:2" x14ac:dyDescent="0.25">
      <c r="A607">
        <v>4.2119999999999997</v>
      </c>
      <c r="B607">
        <v>13.30625</v>
      </c>
    </row>
    <row r="608" spans="1:2" x14ac:dyDescent="0.25">
      <c r="A608">
        <v>3.4140000000000001</v>
      </c>
      <c r="B608">
        <v>11.8</v>
      </c>
    </row>
    <row r="609" spans="1:2" x14ac:dyDescent="0.25">
      <c r="A609">
        <v>4.2060000000000004</v>
      </c>
      <c r="B609">
        <v>12.143750000000001</v>
      </c>
    </row>
    <row r="610" spans="1:2" x14ac:dyDescent="0.25">
      <c r="A610">
        <v>3.1880000000000002</v>
      </c>
      <c r="B610">
        <v>9.3500019999999999</v>
      </c>
    </row>
    <row r="611" spans="1:2" x14ac:dyDescent="0.25">
      <c r="A611">
        <v>4.9000000000000004</v>
      </c>
      <c r="B611">
        <v>9.4312520000000006</v>
      </c>
    </row>
    <row r="612" spans="1:2" x14ac:dyDescent="0.25">
      <c r="A612">
        <v>3.7280000000000002</v>
      </c>
      <c r="B612">
        <v>10.74375</v>
      </c>
    </row>
    <row r="613" spans="1:2" x14ac:dyDescent="0.25">
      <c r="A613">
        <v>4.798</v>
      </c>
      <c r="B613">
        <v>13.012499999999999</v>
      </c>
    </row>
    <row r="614" spans="1:2" x14ac:dyDescent="0.25">
      <c r="A614">
        <v>3.3319999999999999</v>
      </c>
      <c r="B614">
        <v>11.94375</v>
      </c>
    </row>
    <row r="615" spans="1:2" x14ac:dyDescent="0.25">
      <c r="A615">
        <v>3.8460000000000001</v>
      </c>
      <c r="B615">
        <v>12.074999999999999</v>
      </c>
    </row>
    <row r="616" spans="1:2" x14ac:dyDescent="0.25">
      <c r="A616">
        <v>1.3120000000000001</v>
      </c>
      <c r="B616">
        <v>11.025</v>
      </c>
    </row>
    <row r="617" spans="1:2" x14ac:dyDescent="0.25">
      <c r="A617">
        <v>3.649</v>
      </c>
      <c r="B617">
        <v>14.8125</v>
      </c>
    </row>
    <row r="618" spans="1:2" x14ac:dyDescent="0.25">
      <c r="A618">
        <v>3.2080000000000002</v>
      </c>
      <c r="B618">
        <v>17.293749999999999</v>
      </c>
    </row>
    <row r="619" spans="1:2" x14ac:dyDescent="0.25">
      <c r="A619">
        <v>5.28</v>
      </c>
      <c r="B619">
        <v>10.262499999999999</v>
      </c>
    </row>
    <row r="620" spans="1:2" x14ac:dyDescent="0.25">
      <c r="A620">
        <v>5.258</v>
      </c>
      <c r="B620">
        <v>9.4000020000000006</v>
      </c>
    </row>
    <row r="621" spans="1:2" x14ac:dyDescent="0.25">
      <c r="A621">
        <v>4.0650000000000004</v>
      </c>
      <c r="B621">
        <v>10.3</v>
      </c>
    </row>
    <row r="622" spans="1:2" x14ac:dyDescent="0.25">
      <c r="A622">
        <v>4.7409999999999997</v>
      </c>
      <c r="B622">
        <v>13.9375</v>
      </c>
    </row>
    <row r="623" spans="1:2" x14ac:dyDescent="0.25">
      <c r="A623">
        <v>4.8010000000000002</v>
      </c>
      <c r="B623">
        <v>16.081250000000001</v>
      </c>
    </row>
    <row r="624" spans="1:2" x14ac:dyDescent="0.25">
      <c r="A624">
        <v>4.1619999999999999</v>
      </c>
      <c r="B624">
        <v>13.3375</v>
      </c>
    </row>
    <row r="625" spans="1:2" x14ac:dyDescent="0.25">
      <c r="A625">
        <v>5.3810000000000002</v>
      </c>
      <c r="B625">
        <v>12.69375</v>
      </c>
    </row>
    <row r="626" spans="1:2" x14ac:dyDescent="0.25">
      <c r="A626">
        <v>5.5890000000000004</v>
      </c>
      <c r="B626">
        <v>13.675000000000001</v>
      </c>
    </row>
    <row r="627" spans="1:2" x14ac:dyDescent="0.25">
      <c r="A627">
        <v>5.649</v>
      </c>
      <c r="B627">
        <v>15.1625</v>
      </c>
    </row>
    <row r="628" spans="1:2" x14ac:dyDescent="0.25">
      <c r="A628">
        <v>2.9289999999999998</v>
      </c>
      <c r="B628">
        <v>17.725000000000001</v>
      </c>
    </row>
    <row r="629" spans="1:2" x14ac:dyDescent="0.25">
      <c r="A629">
        <v>4.907</v>
      </c>
      <c r="B629">
        <v>16.375</v>
      </c>
    </row>
    <row r="630" spans="1:2" x14ac:dyDescent="0.25">
      <c r="A630">
        <v>5.0780000000000003</v>
      </c>
      <c r="B630">
        <v>14.15</v>
      </c>
    </row>
    <row r="631" spans="1:2" x14ac:dyDescent="0.25">
      <c r="A631">
        <v>5.6719999999999997</v>
      </c>
      <c r="B631">
        <v>14.86875</v>
      </c>
    </row>
    <row r="632" spans="1:2" x14ac:dyDescent="0.25">
      <c r="A632">
        <v>1.9610000000000001</v>
      </c>
      <c r="B632">
        <v>18.34375</v>
      </c>
    </row>
    <row r="633" spans="1:2" x14ac:dyDescent="0.25">
      <c r="A633">
        <v>4.6150000000000002</v>
      </c>
      <c r="B633">
        <v>14.3</v>
      </c>
    </row>
    <row r="634" spans="1:2" x14ac:dyDescent="0.25">
      <c r="A634">
        <v>5.1719999999999997</v>
      </c>
      <c r="B634">
        <v>15.737500000000001</v>
      </c>
    </row>
    <row r="635" spans="1:2" x14ac:dyDescent="0.25">
      <c r="A635">
        <v>3.64</v>
      </c>
      <c r="B635">
        <v>12.975</v>
      </c>
    </row>
    <row r="636" spans="1:2" x14ac:dyDescent="0.25">
      <c r="A636">
        <v>4.7110000000000003</v>
      </c>
      <c r="B636">
        <v>13.44375</v>
      </c>
    </row>
    <row r="637" spans="1:2" x14ac:dyDescent="0.25">
      <c r="A637">
        <v>4.7140000000000004</v>
      </c>
      <c r="B637">
        <v>15.96875</v>
      </c>
    </row>
    <row r="638" spans="1:2" x14ac:dyDescent="0.25">
      <c r="A638">
        <v>5.3840000000000003</v>
      </c>
      <c r="B638">
        <v>19.918749999999999</v>
      </c>
    </row>
    <row r="639" spans="1:2" x14ac:dyDescent="0.25">
      <c r="A639">
        <v>4.5279999999999996</v>
      </c>
      <c r="B639">
        <v>17.043749999999999</v>
      </c>
    </row>
    <row r="640" spans="1:2" x14ac:dyDescent="0.25">
      <c r="A640">
        <v>4.2359999999999998</v>
      </c>
      <c r="B640">
        <v>17.837499999999999</v>
      </c>
    </row>
    <row r="641" spans="1:2" x14ac:dyDescent="0.25">
      <c r="A641">
        <v>3.7349999999999999</v>
      </c>
      <c r="B641">
        <v>15.231249999999999</v>
      </c>
    </row>
    <row r="642" spans="1:2" x14ac:dyDescent="0.25">
      <c r="A642">
        <v>4.25</v>
      </c>
      <c r="B642">
        <v>13.74375</v>
      </c>
    </row>
    <row r="643" spans="1:2" x14ac:dyDescent="0.25">
      <c r="A643">
        <v>6.0869999999999997</v>
      </c>
      <c r="B643">
        <v>12.05625</v>
      </c>
    </row>
    <row r="644" spans="1:2" x14ac:dyDescent="0.25">
      <c r="A644">
        <v>4.3410000000000002</v>
      </c>
      <c r="B644">
        <v>15.387499999999999</v>
      </c>
    </row>
    <row r="645" spans="1:2" x14ac:dyDescent="0.25">
      <c r="A645">
        <v>2.2919999999999998</v>
      </c>
      <c r="B645">
        <v>19.631250000000001</v>
      </c>
    </row>
    <row r="646" spans="1:2" x14ac:dyDescent="0.25">
      <c r="A646">
        <v>3.4380000000000002</v>
      </c>
      <c r="B646">
        <v>15.275</v>
      </c>
    </row>
    <row r="647" spans="1:2" x14ac:dyDescent="0.25">
      <c r="A647">
        <v>5.4930000000000003</v>
      </c>
      <c r="B647">
        <v>17.731249999999999</v>
      </c>
    </row>
    <row r="648" spans="1:2" x14ac:dyDescent="0.25">
      <c r="A648">
        <v>4.8179999999999996</v>
      </c>
      <c r="B648">
        <v>15.106249999999999</v>
      </c>
    </row>
    <row r="649" spans="1:2" x14ac:dyDescent="0.25">
      <c r="A649">
        <v>6.2610000000000001</v>
      </c>
      <c r="B649">
        <v>13.30625</v>
      </c>
    </row>
    <row r="650" spans="1:2" x14ac:dyDescent="0.25">
      <c r="A650">
        <v>6.3949999999999996</v>
      </c>
      <c r="B650">
        <v>13.612500000000001</v>
      </c>
    </row>
    <row r="651" spans="1:2" x14ac:dyDescent="0.25">
      <c r="A651">
        <v>6.141</v>
      </c>
      <c r="B651">
        <v>15.43125</v>
      </c>
    </row>
    <row r="652" spans="1:2" x14ac:dyDescent="0.25">
      <c r="A652">
        <v>5.8250000000000002</v>
      </c>
      <c r="B652">
        <v>19.55</v>
      </c>
    </row>
    <row r="653" spans="1:2" x14ac:dyDescent="0.25">
      <c r="A653">
        <v>6.8259999999999996</v>
      </c>
      <c r="B653">
        <v>19.8</v>
      </c>
    </row>
    <row r="654" spans="1:2" x14ac:dyDescent="0.25">
      <c r="A654">
        <v>6.8609999999999998</v>
      </c>
      <c r="B654">
        <v>16.943750000000001</v>
      </c>
    </row>
    <row r="655" spans="1:2" x14ac:dyDescent="0.25">
      <c r="A655">
        <v>6.819</v>
      </c>
      <c r="B655">
        <v>14.081250000000001</v>
      </c>
    </row>
    <row r="656" spans="1:2" x14ac:dyDescent="0.25">
      <c r="A656">
        <v>6.7759999999999998</v>
      </c>
      <c r="B656">
        <v>14.68125</v>
      </c>
    </row>
    <row r="657" spans="1:2" x14ac:dyDescent="0.25">
      <c r="A657">
        <v>5.12</v>
      </c>
      <c r="B657">
        <v>13.25625</v>
      </c>
    </row>
    <row r="658" spans="1:2" x14ac:dyDescent="0.25">
      <c r="A658">
        <v>6.7240000000000002</v>
      </c>
      <c r="B658">
        <v>13.856249999999999</v>
      </c>
    </row>
    <row r="659" spans="1:2" x14ac:dyDescent="0.25">
      <c r="A659">
        <v>7.0650000000000004</v>
      </c>
      <c r="B659">
        <v>15.25</v>
      </c>
    </row>
    <row r="660" spans="1:2" x14ac:dyDescent="0.25">
      <c r="A660">
        <v>6.6619999999999999</v>
      </c>
      <c r="B660">
        <v>18.806249999999999</v>
      </c>
    </row>
    <row r="661" spans="1:2" x14ac:dyDescent="0.25">
      <c r="A661">
        <v>6.6289999999999996</v>
      </c>
      <c r="B661">
        <v>24.587499999999999</v>
      </c>
    </row>
    <row r="662" spans="1:2" x14ac:dyDescent="0.25">
      <c r="A662">
        <v>5.4429999999999996</v>
      </c>
      <c r="B662">
        <v>18</v>
      </c>
    </row>
    <row r="663" spans="1:2" x14ac:dyDescent="0.25">
      <c r="A663">
        <v>5.6269999999999998</v>
      </c>
      <c r="B663">
        <v>16.068750000000001</v>
      </c>
    </row>
    <row r="664" spans="1:2" x14ac:dyDescent="0.25">
      <c r="A664">
        <v>1.857</v>
      </c>
      <c r="B664">
        <v>21.668749999999999</v>
      </c>
    </row>
    <row r="665" spans="1:2" x14ac:dyDescent="0.25">
      <c r="A665">
        <v>5.1180000000000003</v>
      </c>
      <c r="B665">
        <v>17.262499999999999</v>
      </c>
    </row>
    <row r="666" spans="1:2" x14ac:dyDescent="0.25">
      <c r="A666">
        <v>6.7750000000000004</v>
      </c>
      <c r="B666">
        <v>12.8125</v>
      </c>
    </row>
    <row r="667" spans="1:2" x14ac:dyDescent="0.25">
      <c r="A667">
        <v>6.3979999999999997</v>
      </c>
      <c r="B667">
        <v>15.9125</v>
      </c>
    </row>
    <row r="668" spans="1:2" x14ac:dyDescent="0.25">
      <c r="A668">
        <v>7.2450000000000001</v>
      </c>
      <c r="B668">
        <v>19.806249999999999</v>
      </c>
    </row>
    <row r="669" spans="1:2" x14ac:dyDescent="0.25">
      <c r="A669">
        <v>6.4989999999999997</v>
      </c>
      <c r="B669">
        <v>22.787500000000001</v>
      </c>
    </row>
    <row r="670" spans="1:2" x14ac:dyDescent="0.25">
      <c r="A670">
        <v>4.0640000000000001</v>
      </c>
      <c r="B670">
        <v>18.368749999999999</v>
      </c>
    </row>
    <row r="671" spans="1:2" x14ac:dyDescent="0.25">
      <c r="A671">
        <v>1.917</v>
      </c>
      <c r="B671">
        <v>17.862500000000001</v>
      </c>
    </row>
    <row r="672" spans="1:2" x14ac:dyDescent="0.25">
      <c r="A672">
        <v>6.6210000000000004</v>
      </c>
      <c r="B672">
        <v>20.53125</v>
      </c>
    </row>
    <row r="673" spans="1:2" x14ac:dyDescent="0.25">
      <c r="A673">
        <v>5.8220000000000001</v>
      </c>
      <c r="B673">
        <v>24.337510000000002</v>
      </c>
    </row>
    <row r="674" spans="1:2" x14ac:dyDescent="0.25">
      <c r="A674">
        <v>6.9109999999999996</v>
      </c>
      <c r="B674">
        <v>22.1</v>
      </c>
    </row>
    <row r="675" spans="1:2" x14ac:dyDescent="0.25">
      <c r="A675">
        <v>1.9490000000000001</v>
      </c>
      <c r="B675">
        <v>21.806249999999999</v>
      </c>
    </row>
    <row r="676" spans="1:2" x14ac:dyDescent="0.25">
      <c r="A676">
        <v>4.2210000000000001</v>
      </c>
      <c r="B676">
        <v>16.056249999999999</v>
      </c>
    </row>
    <row r="677" spans="1:2" x14ac:dyDescent="0.25">
      <c r="A677">
        <v>6.6829999999999998</v>
      </c>
      <c r="B677">
        <v>12.418749999999999</v>
      </c>
    </row>
    <row r="678" spans="1:2" x14ac:dyDescent="0.25">
      <c r="A678">
        <v>5.95</v>
      </c>
      <c r="B678">
        <v>13.018750000000001</v>
      </c>
    </row>
    <row r="679" spans="1:2" x14ac:dyDescent="0.25">
      <c r="A679">
        <v>7.5890000000000004</v>
      </c>
      <c r="B679">
        <v>14.85</v>
      </c>
    </row>
    <row r="680" spans="1:2" x14ac:dyDescent="0.25">
      <c r="A680">
        <v>5.4390000000000001</v>
      </c>
      <c r="B680">
        <v>18.293749999999999</v>
      </c>
    </row>
    <row r="681" spans="1:2" x14ac:dyDescent="0.25">
      <c r="A681">
        <v>6.9429999999999996</v>
      </c>
      <c r="B681">
        <v>20.96875</v>
      </c>
    </row>
    <row r="682" spans="1:2" x14ac:dyDescent="0.25">
      <c r="A682">
        <v>7.1790000000000003</v>
      </c>
      <c r="B682">
        <v>25.587499999999999</v>
      </c>
    </row>
    <row r="683" spans="1:2" x14ac:dyDescent="0.25">
      <c r="A683">
        <v>4.5010000000000003</v>
      </c>
      <c r="B683">
        <v>22.318750000000001</v>
      </c>
    </row>
    <row r="684" spans="1:2" x14ac:dyDescent="0.25">
      <c r="A684">
        <v>7.5090000000000003</v>
      </c>
      <c r="B684">
        <v>17.112500000000001</v>
      </c>
    </row>
    <row r="685" spans="1:2" x14ac:dyDescent="0.25">
      <c r="A685">
        <v>7.8209999999999997</v>
      </c>
      <c r="B685">
        <v>18.53125</v>
      </c>
    </row>
    <row r="686" spans="1:2" x14ac:dyDescent="0.25">
      <c r="A686">
        <v>7.8789999999999996</v>
      </c>
      <c r="B686">
        <v>20.65625</v>
      </c>
    </row>
    <row r="687" spans="1:2" x14ac:dyDescent="0.25">
      <c r="A687">
        <v>7.6509999999999998</v>
      </c>
      <c r="B687">
        <v>20.95</v>
      </c>
    </row>
    <row r="688" spans="1:2" x14ac:dyDescent="0.25">
      <c r="A688">
        <v>6.7539999999999996</v>
      </c>
      <c r="B688">
        <v>18.8</v>
      </c>
    </row>
    <row r="689" spans="1:2" x14ac:dyDescent="0.25">
      <c r="A689">
        <v>6.3259999999999996</v>
      </c>
      <c r="B689">
        <v>21.056249999999999</v>
      </c>
    </row>
    <row r="690" spans="1:2" x14ac:dyDescent="0.25">
      <c r="A690">
        <v>7.5519999999999996</v>
      </c>
      <c r="B690">
        <v>16.2</v>
      </c>
    </row>
    <row r="691" spans="1:2" x14ac:dyDescent="0.25">
      <c r="A691">
        <v>7.1440000000000001</v>
      </c>
      <c r="B691">
        <v>15.793749999999999</v>
      </c>
    </row>
    <row r="692" spans="1:2" x14ac:dyDescent="0.25">
      <c r="A692">
        <v>5.0519999999999996</v>
      </c>
      <c r="B692">
        <v>15.5375</v>
      </c>
    </row>
    <row r="693" spans="1:2" x14ac:dyDescent="0.25">
      <c r="A693">
        <v>5.8570000000000002</v>
      </c>
      <c r="B693">
        <v>18.168749999999999</v>
      </c>
    </row>
    <row r="694" spans="1:2" x14ac:dyDescent="0.25">
      <c r="A694">
        <v>4.0460000000000003</v>
      </c>
      <c r="B694">
        <v>18.006250000000001</v>
      </c>
    </row>
    <row r="695" spans="1:2" x14ac:dyDescent="0.25">
      <c r="A695">
        <v>6.3410000000000002</v>
      </c>
      <c r="B695">
        <v>18.068750000000001</v>
      </c>
    </row>
    <row r="696" spans="1:2" x14ac:dyDescent="0.25">
      <c r="A696">
        <v>6.78</v>
      </c>
      <c r="B696">
        <v>21.931249999999999</v>
      </c>
    </row>
    <row r="697" spans="1:2" x14ac:dyDescent="0.25">
      <c r="A697">
        <v>7.3250000000000002</v>
      </c>
      <c r="B697">
        <v>23.881250000000001</v>
      </c>
    </row>
    <row r="698" spans="1:2" x14ac:dyDescent="0.25">
      <c r="A698">
        <v>7.4809999999999999</v>
      </c>
      <c r="B698">
        <v>19.862500000000001</v>
      </c>
    </row>
    <row r="699" spans="1:2" x14ac:dyDescent="0.25">
      <c r="A699">
        <v>7.52</v>
      </c>
      <c r="B699">
        <v>19.137499999999999</v>
      </c>
    </row>
    <row r="700" spans="1:2" x14ac:dyDescent="0.25">
      <c r="A700">
        <v>7.5309999999999997</v>
      </c>
      <c r="B700">
        <v>18.850000000000001</v>
      </c>
    </row>
    <row r="701" spans="1:2" x14ac:dyDescent="0.25">
      <c r="A701">
        <v>7.1139999999999999</v>
      </c>
      <c r="B701">
        <v>22.862500000000001</v>
      </c>
    </row>
    <row r="702" spans="1:2" x14ac:dyDescent="0.25">
      <c r="A702">
        <v>2.113</v>
      </c>
      <c r="B702">
        <v>24.25</v>
      </c>
    </row>
    <row r="703" spans="1:2" x14ac:dyDescent="0.25">
      <c r="A703">
        <v>5.9550000000000001</v>
      </c>
      <c r="B703">
        <v>26.650010000000002</v>
      </c>
    </row>
    <row r="704" spans="1:2" x14ac:dyDescent="0.25">
      <c r="A704">
        <v>5.1520000000000001</v>
      </c>
      <c r="B704">
        <v>20.018750000000001</v>
      </c>
    </row>
    <row r="705" spans="1:2" x14ac:dyDescent="0.25">
      <c r="A705">
        <v>7.0140000000000002</v>
      </c>
      <c r="B705">
        <v>23.537500000000001</v>
      </c>
    </row>
    <row r="706" spans="1:2" x14ac:dyDescent="0.25">
      <c r="A706">
        <v>8.2870000000000008</v>
      </c>
      <c r="B706">
        <v>22.768750000000001</v>
      </c>
    </row>
    <row r="707" spans="1:2" x14ac:dyDescent="0.25">
      <c r="A707">
        <v>8.2129999999999992</v>
      </c>
      <c r="B707">
        <v>24.725010000000001</v>
      </c>
    </row>
    <row r="708" spans="1:2" x14ac:dyDescent="0.25">
      <c r="A708">
        <v>7.7919999999999998</v>
      </c>
      <c r="B708">
        <v>25.806249999999999</v>
      </c>
    </row>
    <row r="709" spans="1:2" x14ac:dyDescent="0.25">
      <c r="A709">
        <v>8.1920000000000002</v>
      </c>
      <c r="B709">
        <v>27.368749999999999</v>
      </c>
    </row>
    <row r="710" spans="1:2" x14ac:dyDescent="0.25">
      <c r="A710">
        <v>8.2609999999999992</v>
      </c>
      <c r="B710">
        <v>19.34375</v>
      </c>
    </row>
    <row r="711" spans="1:2" x14ac:dyDescent="0.25">
      <c r="A711">
        <v>8.3049999999999997</v>
      </c>
      <c r="B711">
        <v>19.675000000000001</v>
      </c>
    </row>
    <row r="712" spans="1:2" x14ac:dyDescent="0.25">
      <c r="A712">
        <v>7.9089999999999998</v>
      </c>
      <c r="B712">
        <v>21.625</v>
      </c>
    </row>
    <row r="713" spans="1:2" x14ac:dyDescent="0.25">
      <c r="A713">
        <v>7.6159999999999997</v>
      </c>
      <c r="B713">
        <v>25.03125</v>
      </c>
    </row>
    <row r="714" spans="1:2" x14ac:dyDescent="0.25">
      <c r="A714">
        <v>6.9589999999999996</v>
      </c>
      <c r="B714">
        <v>18.368749999999999</v>
      </c>
    </row>
    <row r="715" spans="1:2" x14ac:dyDescent="0.25">
      <c r="A715">
        <v>7.1890000000000001</v>
      </c>
      <c r="B715">
        <v>17.15625</v>
      </c>
    </row>
    <row r="716" spans="1:2" x14ac:dyDescent="0.25">
      <c r="A716">
        <v>7.1909999999999998</v>
      </c>
      <c r="B716">
        <v>19.462499999999999</v>
      </c>
    </row>
    <row r="717" spans="1:2" x14ac:dyDescent="0.25">
      <c r="A717">
        <v>8.2360000000000007</v>
      </c>
      <c r="B717">
        <v>20.293749999999999</v>
      </c>
    </row>
    <row r="718" spans="1:2" x14ac:dyDescent="0.25">
      <c r="A718">
        <v>8.2360000000000007</v>
      </c>
      <c r="B718">
        <v>19.387499999999999</v>
      </c>
    </row>
    <row r="719" spans="1:2" x14ac:dyDescent="0.25">
      <c r="A719">
        <v>8.3629999999999995</v>
      </c>
      <c r="B719">
        <v>17.481249999999999</v>
      </c>
    </row>
    <row r="720" spans="1:2" x14ac:dyDescent="0.25">
      <c r="A720">
        <v>7.8719999999999999</v>
      </c>
      <c r="B720">
        <v>19.350000000000001</v>
      </c>
    </row>
    <row r="721" spans="1:2" x14ac:dyDescent="0.25">
      <c r="A721">
        <v>6.4420000000000002</v>
      </c>
      <c r="B721">
        <v>27.206250000000001</v>
      </c>
    </row>
    <row r="722" spans="1:2" x14ac:dyDescent="0.25">
      <c r="A722">
        <v>4.992</v>
      </c>
      <c r="B722">
        <v>21.71875</v>
      </c>
    </row>
    <row r="723" spans="1:2" x14ac:dyDescent="0.25">
      <c r="A723">
        <v>6.6079999999999997</v>
      </c>
      <c r="B723">
        <v>24.375</v>
      </c>
    </row>
    <row r="724" spans="1:2" x14ac:dyDescent="0.25">
      <c r="A724">
        <v>7.766</v>
      </c>
      <c r="B724">
        <v>25.71875</v>
      </c>
    </row>
    <row r="725" spans="1:2" x14ac:dyDescent="0.25">
      <c r="A725">
        <v>6.77</v>
      </c>
      <c r="B725">
        <v>29.568750000000001</v>
      </c>
    </row>
    <row r="726" spans="1:2" x14ac:dyDescent="0.25">
      <c r="A726">
        <v>8.0340000000000007</v>
      </c>
      <c r="B726">
        <v>25.887499999999999</v>
      </c>
    </row>
    <row r="727" spans="1:2" x14ac:dyDescent="0.25">
      <c r="A727">
        <v>8.2059999999999995</v>
      </c>
      <c r="B727">
        <v>18.962499999999999</v>
      </c>
    </row>
    <row r="728" spans="1:2" x14ac:dyDescent="0.25">
      <c r="A728">
        <v>8.3699999999999992</v>
      </c>
      <c r="B728">
        <v>18.768750000000001</v>
      </c>
    </row>
    <row r="729" spans="1:2" x14ac:dyDescent="0.25">
      <c r="A729">
        <v>8.2439999999999998</v>
      </c>
      <c r="B729">
        <v>21.975000000000001</v>
      </c>
    </row>
    <row r="730" spans="1:2" x14ac:dyDescent="0.25">
      <c r="A730">
        <v>7.76</v>
      </c>
      <c r="B730">
        <v>22.45</v>
      </c>
    </row>
    <row r="731" spans="1:2" x14ac:dyDescent="0.25">
      <c r="A731">
        <v>8.1120000000000001</v>
      </c>
      <c r="B731">
        <v>17.45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A64C0-8D43-4532-9228-76D694C92BC9}">
  <dimension ref="A1:X370"/>
  <sheetViews>
    <sheetView workbookViewId="0">
      <selection activeCell="J3" sqref="J3:J5"/>
    </sheetView>
  </sheetViews>
  <sheetFormatPr defaultRowHeight="15" x14ac:dyDescent="0.25"/>
  <cols>
    <col min="1" max="1" width="11.7109375" bestFit="1" customWidth="1"/>
  </cols>
  <sheetData>
    <row r="1" spans="1:24" x14ac:dyDescent="0.25">
      <c r="A1" t="s">
        <v>7</v>
      </c>
      <c r="C1">
        <f>2*PI()/365</f>
        <v>1.7214206321039961E-2</v>
      </c>
      <c r="E1" t="s">
        <v>10</v>
      </c>
      <c r="I1" t="s">
        <v>23</v>
      </c>
      <c r="Q1" t="s">
        <v>7</v>
      </c>
      <c r="S1" t="s">
        <v>4</v>
      </c>
      <c r="T1" t="s">
        <v>32</v>
      </c>
      <c r="U1" t="s">
        <v>14</v>
      </c>
      <c r="V1" t="s">
        <v>15</v>
      </c>
      <c r="W1" t="s">
        <v>33</v>
      </c>
      <c r="X1" t="s">
        <v>17</v>
      </c>
    </row>
    <row r="2" spans="1:24" x14ac:dyDescent="0.25">
      <c r="A2">
        <f>AVERAGE(A6:A370)</f>
        <v>16.462055019178091</v>
      </c>
      <c r="C2">
        <v>6.9888892200259196</v>
      </c>
      <c r="E2">
        <f>SUM(E6:E370)</f>
        <v>4351.0122166199208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Q2">
        <f>AVERAGE(S2:S363)</f>
        <v>16.474793044198904</v>
      </c>
      <c r="S2">
        <v>17.824999999999999</v>
      </c>
      <c r="T2">
        <v>18.488100914865637</v>
      </c>
      <c r="U2">
        <f>S2-T2</f>
        <v>-0.66310091486563749</v>
      </c>
      <c r="V2">
        <f>AVERAGE(U2:U363)</f>
        <v>2.3934942672901961E-2</v>
      </c>
      <c r="W2">
        <f>ABS(U2)</f>
        <v>0.66310091486563749</v>
      </c>
      <c r="X2">
        <f>AVERAGE(W2:W363)</f>
        <v>1.8944479774157281</v>
      </c>
    </row>
    <row r="3" spans="1:24" x14ac:dyDescent="0.25">
      <c r="C3">
        <v>2.3047970440019778</v>
      </c>
      <c r="I3" t="s">
        <v>29</v>
      </c>
      <c r="J3">
        <v>0.84660000000000002</v>
      </c>
      <c r="K3">
        <v>5.1999999999999998E-2</v>
      </c>
      <c r="L3">
        <v>16.29</v>
      </c>
      <c r="M3">
        <v>0</v>
      </c>
      <c r="S3">
        <v>18.137499999999999</v>
      </c>
      <c r="T3">
        <v>19.966256097535663</v>
      </c>
      <c r="U3">
        <f t="shared" ref="U3:U66" si="0">S3-T3</f>
        <v>-1.8287560975356634</v>
      </c>
      <c r="V3" t="s">
        <v>18</v>
      </c>
      <c r="W3">
        <f t="shared" ref="W3:W66" si="1">ABS(U3)</f>
        <v>1.8287560975356634</v>
      </c>
      <c r="X3" t="s">
        <v>19</v>
      </c>
    </row>
    <row r="4" spans="1:24" x14ac:dyDescent="0.25">
      <c r="I4" t="s">
        <v>30</v>
      </c>
      <c r="J4">
        <v>-0.32069999999999999</v>
      </c>
      <c r="K4">
        <v>6.6100000000000006E-2</v>
      </c>
      <c r="L4">
        <v>-4.8499999999999996</v>
      </c>
      <c r="M4">
        <v>0</v>
      </c>
      <c r="S4">
        <v>20.918749999999999</v>
      </c>
      <c r="T4">
        <v>19.692958172670536</v>
      </c>
      <c r="U4">
        <f t="shared" si="0"/>
        <v>1.2257918273294628</v>
      </c>
      <c r="V4">
        <f>V2/Q2</f>
        <v>1.4528220541944786E-3</v>
      </c>
      <c r="W4">
        <f t="shared" si="1"/>
        <v>1.2257918273294628</v>
      </c>
      <c r="X4">
        <f>X2/Q2</f>
        <v>0.11499069956953421</v>
      </c>
    </row>
    <row r="5" spans="1:24" ht="15.75" x14ac:dyDescent="0.25">
      <c r="A5" s="1" t="s">
        <v>4</v>
      </c>
      <c r="B5" t="s">
        <v>6</v>
      </c>
      <c r="D5" t="s">
        <v>8</v>
      </c>
      <c r="E5" t="s">
        <v>9</v>
      </c>
      <c r="F5" t="s">
        <v>11</v>
      </c>
      <c r="G5" t="s">
        <v>8</v>
      </c>
      <c r="H5" t="s">
        <v>13</v>
      </c>
      <c r="I5" t="s">
        <v>31</v>
      </c>
      <c r="J5">
        <v>0.14610000000000001</v>
      </c>
      <c r="K5">
        <v>5.2299999999999999E-2</v>
      </c>
      <c r="L5">
        <v>2.79</v>
      </c>
      <c r="M5">
        <v>5.0000000000000001E-3</v>
      </c>
      <c r="S5">
        <v>24.037500000000001</v>
      </c>
      <c r="T5">
        <v>22.280487311123331</v>
      </c>
      <c r="U5">
        <f t="shared" si="0"/>
        <v>1.7570126888766708</v>
      </c>
      <c r="W5">
        <f t="shared" si="1"/>
        <v>1.7570126888766708</v>
      </c>
    </row>
    <row r="6" spans="1:24" x14ac:dyDescent="0.25">
      <c r="A6">
        <v>14.75</v>
      </c>
      <c r="B6">
        <v>1</v>
      </c>
      <c r="C6">
        <f>C$2*COS(C$1*B6)+C$3*SIN(C$1*B6)</f>
        <v>7.0275270330570025</v>
      </c>
      <c r="D6">
        <f>$A$2+C6</f>
        <v>23.489582052235093</v>
      </c>
      <c r="E6">
        <f>(A6-D6)^2</f>
        <v>76.380294447749762</v>
      </c>
      <c r="F6">
        <f>A6-D6</f>
        <v>-8.7395820522350931</v>
      </c>
      <c r="S6">
        <v>27.975000000000001</v>
      </c>
      <c r="T6">
        <v>24.080980142412812</v>
      </c>
      <c r="U6">
        <f t="shared" si="0"/>
        <v>3.8940198575871889</v>
      </c>
      <c r="W6">
        <f t="shared" si="1"/>
        <v>3.8940198575871889</v>
      </c>
    </row>
    <row r="7" spans="1:24" x14ac:dyDescent="0.25">
      <c r="A7">
        <v>14.43125</v>
      </c>
      <c r="B7">
        <f>B6+1</f>
        <v>2</v>
      </c>
      <c r="C7">
        <f t="shared" ref="C7:C70" si="2">C$2*COS(C$1*B7)+C$3*SIN(C$1*B7)</f>
        <v>7.0640824381617353</v>
      </c>
      <c r="D7">
        <f t="shared" ref="D7:D70" si="3">$A$2+C7</f>
        <v>23.526137457339829</v>
      </c>
      <c r="E7">
        <f t="shared" ref="E7:E70" si="4">(A7-D7)^2</f>
        <v>82.716977861677321</v>
      </c>
      <c r="F7">
        <f t="shared" ref="F7:F70" si="5">A7-D7</f>
        <v>-9.0948874573398282</v>
      </c>
      <c r="S7">
        <v>31.618749999999999</v>
      </c>
      <c r="T7">
        <v>26.826366630351817</v>
      </c>
      <c r="U7">
        <f t="shared" si="0"/>
        <v>4.7923833696481815</v>
      </c>
      <c r="W7">
        <f t="shared" si="1"/>
        <v>4.7923833696481815</v>
      </c>
    </row>
    <row r="8" spans="1:24" x14ac:dyDescent="0.25">
      <c r="A8">
        <v>15.59375</v>
      </c>
      <c r="B8">
        <f t="shared" ref="B8:B71" si="6">B7+1</f>
        <v>3</v>
      </c>
      <c r="C8">
        <f t="shared" si="2"/>
        <v>7.0985446031846564</v>
      </c>
      <c r="D8">
        <f t="shared" si="3"/>
        <v>23.560599622362748</v>
      </c>
      <c r="E8">
        <f t="shared" si="4"/>
        <v>63.470692905341458</v>
      </c>
      <c r="F8">
        <f t="shared" si="5"/>
        <v>-7.9668496223627479</v>
      </c>
      <c r="S8">
        <v>27.806249999999999</v>
      </c>
      <c r="T8">
        <v>29.109090073613544</v>
      </c>
      <c r="U8">
        <f t="shared" si="0"/>
        <v>-1.3028400736135453</v>
      </c>
      <c r="W8">
        <f t="shared" si="1"/>
        <v>1.3028400736135453</v>
      </c>
    </row>
    <row r="9" spans="1:24" x14ac:dyDescent="0.25">
      <c r="A9">
        <v>17.824999999999999</v>
      </c>
      <c r="B9">
        <f t="shared" si="6"/>
        <v>4</v>
      </c>
      <c r="C9">
        <f t="shared" si="2"/>
        <v>7.1309033162425131</v>
      </c>
      <c r="D9">
        <f t="shared" si="3"/>
        <v>23.592958335420604</v>
      </c>
      <c r="E9">
        <f t="shared" si="4"/>
        <v>33.269343359148039</v>
      </c>
      <c r="F9">
        <f t="shared" si="5"/>
        <v>-5.7679583354206052</v>
      </c>
      <c r="G9">
        <f>$J$3*F8+$J$4*F7+$J$5*F6</f>
        <v>-5.1048574205549668</v>
      </c>
      <c r="H9">
        <f>D9+G9</f>
        <v>18.488100914865637</v>
      </c>
      <c r="S9">
        <v>21.681249999999999</v>
      </c>
      <c r="T9">
        <v>25.292465856235751</v>
      </c>
      <c r="U9">
        <f t="shared" si="0"/>
        <v>-3.6112158562357521</v>
      </c>
      <c r="W9">
        <f t="shared" si="1"/>
        <v>3.6112158562357521</v>
      </c>
    </row>
    <row r="10" spans="1:24" x14ac:dyDescent="0.25">
      <c r="A10">
        <v>18.137499999999999</v>
      </c>
      <c r="B10">
        <f t="shared" si="6"/>
        <v>5</v>
      </c>
      <c r="C10">
        <f t="shared" si="2"/>
        <v>7.16114898875027</v>
      </c>
      <c r="D10">
        <f t="shared" si="3"/>
        <v>23.623204007928361</v>
      </c>
      <c r="E10">
        <f t="shared" si="4"/>
        <v>30.092948462601296</v>
      </c>
      <c r="F10">
        <f t="shared" si="5"/>
        <v>-5.4857040079283621</v>
      </c>
      <c r="G10">
        <f t="shared" ref="G10:G73" si="7">$J$3*F9+$J$4*F8+$J$5*F7</f>
        <v>-3.6569479103927001</v>
      </c>
      <c r="H10">
        <f t="shared" ref="H10:H73" si="8">D10+G10</f>
        <v>19.966256097535663</v>
      </c>
      <c r="S10">
        <v>19.912500000000001</v>
      </c>
      <c r="T10">
        <v>21.865668948062474</v>
      </c>
      <c r="U10">
        <f t="shared" si="0"/>
        <v>-1.9531689480624728</v>
      </c>
      <c r="W10">
        <f t="shared" si="1"/>
        <v>1.9531689480624728</v>
      </c>
    </row>
    <row r="11" spans="1:24" x14ac:dyDescent="0.25">
      <c r="A11">
        <v>20.918749999999999</v>
      </c>
      <c r="B11">
        <f t="shared" si="6"/>
        <v>6</v>
      </c>
      <c r="C11">
        <f t="shared" si="2"/>
        <v>7.1892726582624071</v>
      </c>
      <c r="D11">
        <f t="shared" si="3"/>
        <v>23.651327677440499</v>
      </c>
      <c r="E11">
        <f t="shared" si="4"/>
        <v>7.4669807632461129</v>
      </c>
      <c r="F11">
        <f t="shared" si="5"/>
        <v>-2.7325776774404993</v>
      </c>
      <c r="G11">
        <f t="shared" si="7"/>
        <v>-3.9583695047699612</v>
      </c>
      <c r="H11">
        <f t="shared" si="8"/>
        <v>19.692958172670536</v>
      </c>
      <c r="S11">
        <v>18.2</v>
      </c>
      <c r="T11">
        <v>21.778420155123456</v>
      </c>
      <c r="U11">
        <f t="shared" si="0"/>
        <v>-3.5784201551234567</v>
      </c>
      <c r="W11">
        <f t="shared" si="1"/>
        <v>3.5784201551234567</v>
      </c>
    </row>
    <row r="12" spans="1:24" x14ac:dyDescent="0.25">
      <c r="A12">
        <v>24.037500000000001</v>
      </c>
      <c r="B12">
        <f t="shared" si="6"/>
        <v>7</v>
      </c>
      <c r="C12">
        <f t="shared" si="2"/>
        <v>7.2152659911286889</v>
      </c>
      <c r="D12">
        <f t="shared" si="3"/>
        <v>23.67732101030678</v>
      </c>
      <c r="E12">
        <f t="shared" si="4"/>
        <v>0.12972890461642944</v>
      </c>
      <c r="F12">
        <f t="shared" si="5"/>
        <v>0.36017898969322104</v>
      </c>
      <c r="G12">
        <f t="shared" si="7"/>
        <v>-1.3968336991834516</v>
      </c>
      <c r="H12">
        <f t="shared" si="8"/>
        <v>22.280487311123331</v>
      </c>
      <c r="S12">
        <v>20.893750000000001</v>
      </c>
      <c r="T12">
        <v>20.003172369950832</v>
      </c>
      <c r="U12">
        <f t="shared" si="0"/>
        <v>0.89057763004916879</v>
      </c>
      <c r="W12">
        <f t="shared" si="1"/>
        <v>0.89057763004916879</v>
      </c>
    </row>
    <row r="13" spans="1:24" x14ac:dyDescent="0.25">
      <c r="A13">
        <v>27.975000000000001</v>
      </c>
      <c r="B13">
        <f t="shared" si="6"/>
        <v>8</v>
      </c>
      <c r="C13">
        <f t="shared" si="2"/>
        <v>7.2391212849636064</v>
      </c>
      <c r="D13">
        <f t="shared" si="3"/>
        <v>23.701176304141697</v>
      </c>
      <c r="E13">
        <f t="shared" si="4"/>
        <v>18.265568983279937</v>
      </c>
      <c r="F13">
        <f t="shared" si="5"/>
        <v>4.2738236958583045</v>
      </c>
      <c r="G13">
        <f t="shared" si="7"/>
        <v>0.37980383827111541</v>
      </c>
      <c r="H13">
        <f t="shared" si="8"/>
        <v>24.080980142412812</v>
      </c>
      <c r="S13">
        <v>25.231249999999999</v>
      </c>
      <c r="T13">
        <v>22.575949321833253</v>
      </c>
      <c r="U13">
        <f t="shared" si="0"/>
        <v>2.6553006781667463</v>
      </c>
      <c r="W13">
        <f t="shared" si="1"/>
        <v>2.6553006781667463</v>
      </c>
    </row>
    <row r="14" spans="1:24" x14ac:dyDescent="0.25">
      <c r="A14">
        <v>31.618749999999999</v>
      </c>
      <c r="B14">
        <f t="shared" si="6"/>
        <v>9</v>
      </c>
      <c r="C14">
        <f t="shared" si="2"/>
        <v>7.260831470928756</v>
      </c>
      <c r="D14">
        <f t="shared" si="3"/>
        <v>23.722886490106848</v>
      </c>
      <c r="E14">
        <f t="shared" si="4"/>
        <v>62.344660566862174</v>
      </c>
      <c r="F14">
        <f t="shared" si="5"/>
        <v>7.8958635098931502</v>
      </c>
      <c r="G14">
        <f t="shared" si="7"/>
        <v>3.1034801402449674</v>
      </c>
      <c r="H14">
        <f t="shared" si="8"/>
        <v>26.826366630351817</v>
      </c>
      <c r="S14">
        <v>28.524999999999999</v>
      </c>
      <c r="T14">
        <v>25.13474307700724</v>
      </c>
      <c r="U14">
        <f t="shared" si="0"/>
        <v>3.3902569229927586</v>
      </c>
      <c r="W14">
        <f t="shared" si="1"/>
        <v>3.3902569229927586</v>
      </c>
    </row>
    <row r="15" spans="1:24" x14ac:dyDescent="0.25">
      <c r="A15">
        <v>27.806249999999999</v>
      </c>
      <c r="B15">
        <f t="shared" si="6"/>
        <v>10</v>
      </c>
      <c r="C15">
        <f t="shared" si="2"/>
        <v>7.2803901158274922</v>
      </c>
      <c r="D15">
        <f t="shared" si="3"/>
        <v>23.742445135005582</v>
      </c>
      <c r="E15">
        <f t="shared" si="4"/>
        <v>16.51450998075229</v>
      </c>
      <c r="F15">
        <f t="shared" si="5"/>
        <v>4.0638048649944167</v>
      </c>
      <c r="G15">
        <f t="shared" si="7"/>
        <v>5.3666449386079629</v>
      </c>
      <c r="H15">
        <f t="shared" si="8"/>
        <v>29.109090073613544</v>
      </c>
      <c r="S15">
        <v>27.862500000000001</v>
      </c>
      <c r="T15">
        <v>26.925784663785656</v>
      </c>
      <c r="U15">
        <f t="shared" si="0"/>
        <v>0.93671533621434477</v>
      </c>
      <c r="W15">
        <f t="shared" si="1"/>
        <v>0.93671533621434477</v>
      </c>
    </row>
    <row r="16" spans="1:24" x14ac:dyDescent="0.25">
      <c r="A16">
        <v>21.681249999999999</v>
      </c>
      <c r="B16">
        <f t="shared" si="6"/>
        <v>11</v>
      </c>
      <c r="C16">
        <f t="shared" si="2"/>
        <v>7.2977914240112218</v>
      </c>
      <c r="D16">
        <f t="shared" si="3"/>
        <v>23.759846443189314</v>
      </c>
      <c r="E16">
        <f t="shared" si="4"/>
        <v>4.3205631736392736</v>
      </c>
      <c r="F16">
        <f t="shared" si="5"/>
        <v>-2.0785964431893156</v>
      </c>
      <c r="G16">
        <f t="shared" si="7"/>
        <v>1.5326194130464383</v>
      </c>
      <c r="H16">
        <f t="shared" si="8"/>
        <v>25.292465856235751</v>
      </c>
      <c r="S16">
        <v>20.824999999999999</v>
      </c>
      <c r="T16">
        <v>25.941631572623468</v>
      </c>
      <c r="U16">
        <f t="shared" si="0"/>
        <v>-5.1166315726234686</v>
      </c>
      <c r="W16">
        <f t="shared" si="1"/>
        <v>5.1166315726234686</v>
      </c>
    </row>
    <row r="17" spans="1:23" x14ac:dyDescent="0.25">
      <c r="A17">
        <v>19.912500000000001</v>
      </c>
      <c r="B17">
        <f t="shared" si="6"/>
        <v>12</v>
      </c>
      <c r="C17">
        <f t="shared" si="2"/>
        <v>7.3130302390967774</v>
      </c>
      <c r="D17">
        <f t="shared" si="3"/>
        <v>23.775085258274871</v>
      </c>
      <c r="E17">
        <f t="shared" si="4"/>
        <v>14.919564877442339</v>
      </c>
      <c r="F17">
        <f t="shared" si="5"/>
        <v>-3.8625852582748692</v>
      </c>
      <c r="G17">
        <f t="shared" si="7"/>
        <v>-1.9094163102123949</v>
      </c>
      <c r="H17">
        <f t="shared" si="8"/>
        <v>21.865668948062474</v>
      </c>
      <c r="S17">
        <v>24.09375</v>
      </c>
      <c r="T17">
        <v>20.675965256120534</v>
      </c>
      <c r="U17">
        <f t="shared" si="0"/>
        <v>3.4177847438794657</v>
      </c>
      <c r="W17">
        <f t="shared" si="1"/>
        <v>3.4177847438794657</v>
      </c>
    </row>
    <row r="18" spans="1:23" x14ac:dyDescent="0.25">
      <c r="A18">
        <v>18.2</v>
      </c>
      <c r="B18">
        <f t="shared" si="6"/>
        <v>13</v>
      </c>
      <c r="C18">
        <f t="shared" si="2"/>
        <v>7.3261020454943715</v>
      </c>
      <c r="D18">
        <f t="shared" si="3"/>
        <v>23.788157064672461</v>
      </c>
      <c r="E18">
        <f t="shared" si="4"/>
        <v>31.227499379448744</v>
      </c>
      <c r="F18">
        <f t="shared" si="5"/>
        <v>-5.5881570646724619</v>
      </c>
      <c r="G18">
        <f t="shared" si="7"/>
        <v>-2.0097369095490065</v>
      </c>
      <c r="H18">
        <f t="shared" si="8"/>
        <v>21.778420155123456</v>
      </c>
      <c r="S18">
        <v>23.45</v>
      </c>
      <c r="T18">
        <v>25.601309253961563</v>
      </c>
      <c r="U18">
        <f t="shared" si="0"/>
        <v>-2.1513092539615641</v>
      </c>
      <c r="W18">
        <f t="shared" si="1"/>
        <v>2.1513092539615641</v>
      </c>
    </row>
    <row r="19" spans="1:23" x14ac:dyDescent="0.25">
      <c r="A19">
        <v>20.893750000000001</v>
      </c>
      <c r="B19">
        <f t="shared" si="6"/>
        <v>14</v>
      </c>
      <c r="C19">
        <f t="shared" si="2"/>
        <v>7.3370029697456536</v>
      </c>
      <c r="D19">
        <f t="shared" si="3"/>
        <v>23.799057988923746</v>
      </c>
      <c r="E19">
        <f t="shared" si="4"/>
        <v>8.4408145105041363</v>
      </c>
      <c r="F19">
        <f t="shared" si="5"/>
        <v>-2.9053079889237452</v>
      </c>
      <c r="G19">
        <f t="shared" si="7"/>
        <v>-3.7958856189729149</v>
      </c>
      <c r="H19">
        <f t="shared" si="8"/>
        <v>20.003172369950832</v>
      </c>
      <c r="S19">
        <v>20.975000000000001</v>
      </c>
      <c r="T19">
        <v>22.977014192793263</v>
      </c>
      <c r="U19">
        <f t="shared" si="0"/>
        <v>-2.0020141927932613</v>
      </c>
      <c r="W19">
        <f t="shared" si="1"/>
        <v>2.0020141927932613</v>
      </c>
    </row>
    <row r="20" spans="1:23" x14ac:dyDescent="0.25">
      <c r="A20">
        <v>25.231249999999999</v>
      </c>
      <c r="B20">
        <f t="shared" si="6"/>
        <v>15</v>
      </c>
      <c r="C20">
        <f t="shared" si="2"/>
        <v>7.3457297816715057</v>
      </c>
      <c r="D20">
        <f t="shared" si="3"/>
        <v>23.807784800849596</v>
      </c>
      <c r="E20">
        <f t="shared" si="4"/>
        <v>2.0262531731922966</v>
      </c>
      <c r="F20">
        <f t="shared" si="5"/>
        <v>1.423465199150403</v>
      </c>
      <c r="G20">
        <f t="shared" si="7"/>
        <v>-1.2318354790163424</v>
      </c>
      <c r="H20">
        <f t="shared" si="8"/>
        <v>22.575949321833253</v>
      </c>
      <c r="S20">
        <v>22.206250000000001</v>
      </c>
      <c r="T20">
        <v>21.562150911038639</v>
      </c>
      <c r="U20">
        <f t="shared" si="0"/>
        <v>0.64409908896136159</v>
      </c>
      <c r="W20">
        <f t="shared" si="1"/>
        <v>0.64409908896136159</v>
      </c>
    </row>
    <row r="21" spans="1:23" x14ac:dyDescent="0.25">
      <c r="A21">
        <v>28.524999999999999</v>
      </c>
      <c r="B21">
        <f t="shared" si="6"/>
        <v>16</v>
      </c>
      <c r="C21">
        <f t="shared" si="2"/>
        <v>7.3522798953292181</v>
      </c>
      <c r="D21">
        <f t="shared" si="3"/>
        <v>23.81433491450731</v>
      </c>
      <c r="E21">
        <f t="shared" si="4"/>
        <v>22.190365547679843</v>
      </c>
      <c r="F21">
        <f t="shared" si="5"/>
        <v>4.710665085492689</v>
      </c>
      <c r="G21">
        <f t="shared" si="7"/>
        <v>1.3204081624999295</v>
      </c>
      <c r="H21">
        <f t="shared" si="8"/>
        <v>25.13474307700724</v>
      </c>
      <c r="S21">
        <v>28.84375</v>
      </c>
      <c r="T21">
        <v>23.299951708648543</v>
      </c>
      <c r="U21">
        <f t="shared" si="0"/>
        <v>5.5437982913514574</v>
      </c>
      <c r="W21">
        <f t="shared" si="1"/>
        <v>5.5437982913514574</v>
      </c>
    </row>
    <row r="22" spans="1:23" x14ac:dyDescent="0.25">
      <c r="A22">
        <v>27.862500000000001</v>
      </c>
      <c r="B22">
        <f t="shared" si="6"/>
        <v>17</v>
      </c>
      <c r="C22">
        <f t="shared" si="2"/>
        <v>7.3566513697787475</v>
      </c>
      <c r="D22">
        <f t="shared" si="3"/>
        <v>23.818706388956841</v>
      </c>
      <c r="E22">
        <f t="shared" si="4"/>
        <v>16.352266768713481</v>
      </c>
      <c r="F22">
        <f t="shared" si="5"/>
        <v>4.04379361104316</v>
      </c>
      <c r="G22">
        <f t="shared" si="7"/>
        <v>3.107078274828817</v>
      </c>
      <c r="H22">
        <f t="shared" si="8"/>
        <v>26.925784663785656</v>
      </c>
      <c r="S22">
        <v>22.131250000000001</v>
      </c>
      <c r="T22">
        <v>28.157832221790553</v>
      </c>
      <c r="U22">
        <f t="shared" si="0"/>
        <v>-6.0265822217905516</v>
      </c>
      <c r="W22">
        <f t="shared" si="1"/>
        <v>6.0265822217905516</v>
      </c>
    </row>
    <row r="23" spans="1:23" x14ac:dyDescent="0.25">
      <c r="A23">
        <v>20.824999999999999</v>
      </c>
      <c r="B23">
        <f t="shared" si="6"/>
        <v>18</v>
      </c>
      <c r="C23">
        <f t="shared" si="2"/>
        <v>7.3588429096578718</v>
      </c>
      <c r="D23">
        <f t="shared" si="3"/>
        <v>23.820897928835961</v>
      </c>
      <c r="E23">
        <f t="shared" si="4"/>
        <v>8.9754044000036082</v>
      </c>
      <c r="F23">
        <f t="shared" si="5"/>
        <v>-2.9958979288359622</v>
      </c>
      <c r="G23">
        <f t="shared" si="7"/>
        <v>2.1207336437875077</v>
      </c>
      <c r="H23">
        <f t="shared" si="8"/>
        <v>25.941631572623468</v>
      </c>
      <c r="S23">
        <v>21.318750000000001</v>
      </c>
      <c r="T23">
        <v>20.520591422475288</v>
      </c>
      <c r="U23">
        <f t="shared" si="0"/>
        <v>0.79815857752471331</v>
      </c>
      <c r="W23">
        <f t="shared" si="1"/>
        <v>0.79815857752471331</v>
      </c>
    </row>
    <row r="24" spans="1:23" x14ac:dyDescent="0.25">
      <c r="A24">
        <v>24.09375</v>
      </c>
      <c r="B24">
        <f t="shared" si="6"/>
        <v>19</v>
      </c>
      <c r="C24">
        <f t="shared" si="2"/>
        <v>7.3588538655660267</v>
      </c>
      <c r="D24">
        <f t="shared" si="3"/>
        <v>23.820908884744117</v>
      </c>
      <c r="E24">
        <f t="shared" si="4"/>
        <v>7.4442274174073883E-2</v>
      </c>
      <c r="F24">
        <f t="shared" si="5"/>
        <v>0.27284111525588273</v>
      </c>
      <c r="G24">
        <f t="shared" si="7"/>
        <v>-3.1449436286235848</v>
      </c>
      <c r="H24">
        <f t="shared" si="8"/>
        <v>20.675965256120534</v>
      </c>
      <c r="S24">
        <v>22.681249999999999</v>
      </c>
      <c r="T24">
        <v>22.948780368120161</v>
      </c>
      <c r="U24">
        <f t="shared" si="0"/>
        <v>-0.26753036812016262</v>
      </c>
      <c r="W24">
        <f t="shared" si="1"/>
        <v>0.26753036812016262</v>
      </c>
    </row>
    <row r="25" spans="1:23" x14ac:dyDescent="0.25">
      <c r="A25">
        <v>23.45</v>
      </c>
      <c r="B25">
        <f t="shared" si="6"/>
        <v>20</v>
      </c>
      <c r="C25">
        <f t="shared" si="2"/>
        <v>7.3566842342567416</v>
      </c>
      <c r="D25">
        <f t="shared" si="3"/>
        <v>23.818739253434835</v>
      </c>
      <c r="E25">
        <f t="shared" si="4"/>
        <v>0.13596863702367984</v>
      </c>
      <c r="F25">
        <f t="shared" si="5"/>
        <v>-0.36873925343483549</v>
      </c>
      <c r="G25">
        <f t="shared" si="7"/>
        <v>1.7825700005267291</v>
      </c>
      <c r="H25">
        <f t="shared" si="8"/>
        <v>25.601309253961563</v>
      </c>
      <c r="S25">
        <v>23.59375</v>
      </c>
      <c r="T25">
        <v>23.375052826050915</v>
      </c>
      <c r="U25">
        <f t="shared" si="0"/>
        <v>0.21869717394908506</v>
      </c>
      <c r="W25">
        <f t="shared" si="1"/>
        <v>0.21869717394908506</v>
      </c>
    </row>
    <row r="26" spans="1:23" x14ac:dyDescent="0.25">
      <c r="A26">
        <v>20.975000000000001</v>
      </c>
      <c r="B26">
        <f t="shared" si="6"/>
        <v>21</v>
      </c>
      <c r="C26">
        <f t="shared" si="2"/>
        <v>7.352334658638596</v>
      </c>
      <c r="D26">
        <f t="shared" si="3"/>
        <v>23.814389677816688</v>
      </c>
      <c r="E26">
        <f t="shared" si="4"/>
        <v>8.0621337424919499</v>
      </c>
      <c r="F26">
        <f t="shared" si="5"/>
        <v>-2.8393896778166869</v>
      </c>
      <c r="G26">
        <f t="shared" si="7"/>
        <v>-0.8373754850234274</v>
      </c>
      <c r="H26">
        <f t="shared" si="8"/>
        <v>22.977014192793263</v>
      </c>
      <c r="S26">
        <v>24.306249999999999</v>
      </c>
      <c r="T26">
        <v>23.584118397940838</v>
      </c>
      <c r="U26">
        <f t="shared" si="0"/>
        <v>0.72213160205916083</v>
      </c>
      <c r="W26">
        <f t="shared" si="1"/>
        <v>0.72213160205916083</v>
      </c>
    </row>
    <row r="27" spans="1:23" x14ac:dyDescent="0.25">
      <c r="A27">
        <v>22.206250000000001</v>
      </c>
      <c r="B27">
        <f t="shared" si="6"/>
        <v>22</v>
      </c>
      <c r="C27">
        <f t="shared" si="2"/>
        <v>7.3458064275847192</v>
      </c>
      <c r="D27">
        <f t="shared" si="3"/>
        <v>23.807861446762811</v>
      </c>
      <c r="E27">
        <f t="shared" si="4"/>
        <v>2.5651592264016614</v>
      </c>
      <c r="F27">
        <f t="shared" si="5"/>
        <v>-1.60161144676281</v>
      </c>
      <c r="G27">
        <f t="shared" si="7"/>
        <v>-2.2457105357241711</v>
      </c>
      <c r="H27">
        <f t="shared" si="8"/>
        <v>21.562150911038639</v>
      </c>
      <c r="S27">
        <v>28.862500000000001</v>
      </c>
      <c r="T27">
        <v>24.085244394187985</v>
      </c>
      <c r="U27">
        <f t="shared" si="0"/>
        <v>4.7772556058120159</v>
      </c>
      <c r="W27">
        <f t="shared" si="1"/>
        <v>4.7772556058120159</v>
      </c>
    </row>
    <row r="28" spans="1:23" x14ac:dyDescent="0.25">
      <c r="A28">
        <v>28.84375</v>
      </c>
      <c r="B28">
        <f t="shared" si="6"/>
        <v>23</v>
      </c>
      <c r="C28">
        <f t="shared" si="2"/>
        <v>7.3371014755508615</v>
      </c>
      <c r="D28">
        <f t="shared" si="3"/>
        <v>23.799156494728955</v>
      </c>
      <c r="E28">
        <f t="shared" si="4"/>
        <v>25.44792363342281</v>
      </c>
      <c r="F28">
        <f t="shared" si="5"/>
        <v>5.0445935052710453</v>
      </c>
      <c r="G28">
        <f t="shared" si="7"/>
        <v>-0.49920478608041297</v>
      </c>
      <c r="H28">
        <f t="shared" si="8"/>
        <v>23.299951708648543</v>
      </c>
      <c r="S28">
        <v>28.875</v>
      </c>
      <c r="T28">
        <v>27.838184583230603</v>
      </c>
      <c r="U28">
        <f t="shared" si="0"/>
        <v>1.0368154167693966</v>
      </c>
      <c r="W28">
        <f t="shared" si="1"/>
        <v>1.0368154167693966</v>
      </c>
    </row>
    <row r="29" spans="1:23" x14ac:dyDescent="0.25">
      <c r="A29">
        <v>22.131250000000001</v>
      </c>
      <c r="B29">
        <f t="shared" si="6"/>
        <v>24</v>
      </c>
      <c r="C29">
        <f t="shared" si="2"/>
        <v>7.3262223820021788</v>
      </c>
      <c r="D29">
        <f t="shared" si="3"/>
        <v>23.78827740118027</v>
      </c>
      <c r="E29">
        <f t="shared" si="4"/>
        <v>2.7457398082622357</v>
      </c>
      <c r="F29">
        <f t="shared" si="5"/>
        <v>-1.6570274011802688</v>
      </c>
      <c r="G29">
        <f t="shared" si="7"/>
        <v>4.3695548206102828</v>
      </c>
      <c r="H29">
        <f t="shared" si="8"/>
        <v>28.157832221790553</v>
      </c>
      <c r="S29">
        <v>27.46875</v>
      </c>
      <c r="T29">
        <v>26.48177856580082</v>
      </c>
      <c r="U29">
        <f t="shared" si="0"/>
        <v>0.98697143419918021</v>
      </c>
      <c r="W29">
        <f t="shared" si="1"/>
        <v>0.98697143419918021</v>
      </c>
    </row>
    <row r="30" spans="1:23" x14ac:dyDescent="0.25">
      <c r="A30">
        <v>21.318750000000001</v>
      </c>
      <c r="B30">
        <f t="shared" si="6"/>
        <v>25</v>
      </c>
      <c r="C30">
        <f t="shared" si="2"/>
        <v>7.3131723706488811</v>
      </c>
      <c r="D30">
        <f t="shared" si="3"/>
        <v>23.775227389826973</v>
      </c>
      <c r="E30">
        <f t="shared" si="4"/>
        <v>6.0342811667311338</v>
      </c>
      <c r="F30">
        <f t="shared" si="5"/>
        <v>-2.4564773898269721</v>
      </c>
      <c r="G30">
        <f t="shared" si="7"/>
        <v>-3.2546359673516863</v>
      </c>
      <c r="H30">
        <f t="shared" si="8"/>
        <v>20.520591422475288</v>
      </c>
      <c r="S30">
        <v>22.868749999999999</v>
      </c>
      <c r="T30">
        <v>25.942317399116977</v>
      </c>
      <c r="U30">
        <f t="shared" si="0"/>
        <v>-3.0735673991169783</v>
      </c>
      <c r="W30">
        <f t="shared" si="1"/>
        <v>3.0735673991169783</v>
      </c>
    </row>
    <row r="31" spans="1:23" x14ac:dyDescent="0.25">
      <c r="A31">
        <v>22.681249999999999</v>
      </c>
      <c r="B31">
        <f t="shared" si="6"/>
        <v>26</v>
      </c>
      <c r="C31">
        <f t="shared" si="2"/>
        <v>7.2979553084909741</v>
      </c>
      <c r="D31">
        <f t="shared" si="3"/>
        <v>23.760010327669065</v>
      </c>
      <c r="E31">
        <f t="shared" si="4"/>
        <v>1.1637238445526707</v>
      </c>
      <c r="F31">
        <f t="shared" si="5"/>
        <v>-1.078760327669066</v>
      </c>
      <c r="G31">
        <f t="shared" si="7"/>
        <v>-0.81122995954890254</v>
      </c>
      <c r="H31">
        <f t="shared" si="8"/>
        <v>22.948780368120161</v>
      </c>
      <c r="S31">
        <v>24.725000000000001</v>
      </c>
      <c r="T31">
        <v>22.489487971014729</v>
      </c>
      <c r="U31">
        <f t="shared" si="0"/>
        <v>2.2355120289852728</v>
      </c>
      <c r="W31">
        <f t="shared" si="1"/>
        <v>2.2355120289852728</v>
      </c>
    </row>
    <row r="32" spans="1:23" x14ac:dyDescent="0.25">
      <c r="A32">
        <v>23.59375</v>
      </c>
      <c r="B32">
        <f t="shared" si="6"/>
        <v>27</v>
      </c>
      <c r="C32">
        <f t="shared" si="2"/>
        <v>7.2805757046723851</v>
      </c>
      <c r="D32">
        <f t="shared" si="3"/>
        <v>23.742630723850475</v>
      </c>
      <c r="E32">
        <f t="shared" si="4"/>
        <v>2.2165469934241334E-2</v>
      </c>
      <c r="F32">
        <f t="shared" si="5"/>
        <v>-0.14888072385047479</v>
      </c>
      <c r="G32">
        <f t="shared" si="7"/>
        <v>-0.36757789779955868</v>
      </c>
      <c r="H32">
        <f t="shared" si="8"/>
        <v>23.375052826050915</v>
      </c>
      <c r="S32">
        <v>27.393750000000001</v>
      </c>
      <c r="T32">
        <v>25.318788624017262</v>
      </c>
      <c r="U32">
        <f t="shared" si="0"/>
        <v>2.0749613759827383</v>
      </c>
      <c r="W32">
        <f t="shared" si="1"/>
        <v>2.0749613759827383</v>
      </c>
    </row>
    <row r="33" spans="1:23" x14ac:dyDescent="0.25">
      <c r="A33">
        <v>24.306249999999999</v>
      </c>
      <c r="B33">
        <f t="shared" si="6"/>
        <v>28</v>
      </c>
      <c r="C33">
        <f t="shared" si="2"/>
        <v>7.2610387091448096</v>
      </c>
      <c r="D33">
        <f t="shared" si="3"/>
        <v>23.723093728322901</v>
      </c>
      <c r="E33">
        <f t="shared" si="4"/>
        <v>0.34007123719633275</v>
      </c>
      <c r="F33">
        <f t="shared" si="5"/>
        <v>0.58315627167709749</v>
      </c>
      <c r="G33">
        <f t="shared" si="7"/>
        <v>-0.13897533038206314</v>
      </c>
      <c r="H33">
        <f t="shared" si="8"/>
        <v>23.584118397940838</v>
      </c>
      <c r="S33">
        <v>28.21875</v>
      </c>
      <c r="T33">
        <v>26.298141654344803</v>
      </c>
      <c r="U33">
        <f t="shared" si="0"/>
        <v>1.9206083456551966</v>
      </c>
      <c r="W33">
        <f t="shared" si="1"/>
        <v>1.9206083456551966</v>
      </c>
    </row>
    <row r="34" spans="1:23" x14ac:dyDescent="0.25">
      <c r="A34">
        <v>28.862500000000001</v>
      </c>
      <c r="B34">
        <f t="shared" si="6"/>
        <v>29</v>
      </c>
      <c r="C34">
        <f t="shared" si="2"/>
        <v>7.2393501111416647</v>
      </c>
      <c r="D34">
        <f t="shared" si="3"/>
        <v>23.701405130319756</v>
      </c>
      <c r="E34">
        <f t="shared" si="4"/>
        <v>26.636900253839741</v>
      </c>
      <c r="F34">
        <f t="shared" si="5"/>
        <v>5.1610948696802446</v>
      </c>
      <c r="G34">
        <f t="shared" si="7"/>
        <v>0.38383926386822742</v>
      </c>
      <c r="H34">
        <f t="shared" si="8"/>
        <v>24.085244394187985</v>
      </c>
      <c r="S34">
        <v>32.037500000000001</v>
      </c>
      <c r="T34">
        <v>26.398585185863816</v>
      </c>
      <c r="U34">
        <f t="shared" si="0"/>
        <v>5.6389148141361858</v>
      </c>
      <c r="W34">
        <f t="shared" si="1"/>
        <v>5.6389148141361858</v>
      </c>
    </row>
    <row r="35" spans="1:23" x14ac:dyDescent="0.25">
      <c r="A35">
        <v>28.875</v>
      </c>
      <c r="B35">
        <f t="shared" si="6"/>
        <v>30</v>
      </c>
      <c r="C35">
        <f t="shared" si="2"/>
        <v>7.2155163374626179</v>
      </c>
      <c r="D35">
        <f t="shared" si="3"/>
        <v>23.677571356640708</v>
      </c>
      <c r="E35">
        <f t="shared" si="4"/>
        <v>27.013264502811605</v>
      </c>
      <c r="F35">
        <f t="shared" si="5"/>
        <v>5.1974286433592916</v>
      </c>
      <c r="G35">
        <f t="shared" si="7"/>
        <v>4.160613226589895</v>
      </c>
      <c r="H35">
        <f t="shared" si="8"/>
        <v>27.838184583230603</v>
      </c>
      <c r="S35">
        <v>34.225000000000001</v>
      </c>
      <c r="T35">
        <v>29.742858168976131</v>
      </c>
      <c r="U35">
        <f t="shared" si="0"/>
        <v>4.4821418310238705</v>
      </c>
      <c r="W35">
        <f t="shared" si="1"/>
        <v>4.4821418310238705</v>
      </c>
    </row>
    <row r="36" spans="1:23" x14ac:dyDescent="0.25">
      <c r="A36">
        <v>27.46875</v>
      </c>
      <c r="B36">
        <f t="shared" si="6"/>
        <v>31</v>
      </c>
      <c r="C36">
        <f t="shared" si="2"/>
        <v>7.1895444505691835</v>
      </c>
      <c r="D36">
        <f t="shared" si="3"/>
        <v>23.651599469747275</v>
      </c>
      <c r="E36">
        <f t="shared" si="4"/>
        <v>14.57063817060866</v>
      </c>
      <c r="F36">
        <f t="shared" si="5"/>
        <v>3.8171505302527251</v>
      </c>
      <c r="G36">
        <f t="shared" si="7"/>
        <v>2.8301790960535458</v>
      </c>
      <c r="H36">
        <f t="shared" si="8"/>
        <v>26.48177856580082</v>
      </c>
      <c r="S36">
        <v>32.006259999999997</v>
      </c>
      <c r="T36">
        <v>30.475975379448347</v>
      </c>
      <c r="U36">
        <f t="shared" si="0"/>
        <v>1.5302846205516509</v>
      </c>
      <c r="W36">
        <f t="shared" si="1"/>
        <v>1.5302846205516509</v>
      </c>
    </row>
    <row r="37" spans="1:23" x14ac:dyDescent="0.25">
      <c r="A37">
        <v>22.868749999999999</v>
      </c>
      <c r="B37">
        <f t="shared" si="6"/>
        <v>32</v>
      </c>
      <c r="C37">
        <f t="shared" si="2"/>
        <v>7.1614421464919689</v>
      </c>
      <c r="D37">
        <f t="shared" si="3"/>
        <v>23.623497165670059</v>
      </c>
      <c r="E37">
        <f t="shared" si="4"/>
        <v>0.56964328408699028</v>
      </c>
      <c r="F37">
        <f t="shared" si="5"/>
        <v>-0.75474716567006084</v>
      </c>
      <c r="G37">
        <f t="shared" si="7"/>
        <v>2.3188202334469166</v>
      </c>
      <c r="H37">
        <f t="shared" si="8"/>
        <v>25.942317399116977</v>
      </c>
      <c r="S37">
        <v>34.543750000000003</v>
      </c>
      <c r="T37">
        <v>28.438630883181876</v>
      </c>
      <c r="U37">
        <f t="shared" si="0"/>
        <v>6.1051191168181269</v>
      </c>
      <c r="W37">
        <f t="shared" si="1"/>
        <v>6.1051191168181269</v>
      </c>
    </row>
    <row r="38" spans="1:23" x14ac:dyDescent="0.25">
      <c r="A38">
        <v>24.725000000000001</v>
      </c>
      <c r="B38">
        <f t="shared" si="6"/>
        <v>33</v>
      </c>
      <c r="C38">
        <f t="shared" si="2"/>
        <v>7.1312177525501683</v>
      </c>
      <c r="D38">
        <f t="shared" si="3"/>
        <v>23.593272771728259</v>
      </c>
      <c r="E38">
        <f t="shared" si="4"/>
        <v>1.2808065192116409</v>
      </c>
      <c r="F38">
        <f t="shared" si="5"/>
        <v>1.1317272282717425</v>
      </c>
      <c r="G38">
        <f t="shared" si="7"/>
        <v>-1.1037848007135302</v>
      </c>
      <c r="H38">
        <f t="shared" si="8"/>
        <v>22.489487971014729</v>
      </c>
      <c r="S38">
        <v>34.387500000000003</v>
      </c>
      <c r="T38">
        <v>31.602003122923982</v>
      </c>
      <c r="U38">
        <f t="shared" si="0"/>
        <v>2.7854968770760209</v>
      </c>
      <c r="W38">
        <f t="shared" si="1"/>
        <v>2.7854968770760209</v>
      </c>
    </row>
    <row r="39" spans="1:23" x14ac:dyDescent="0.25">
      <c r="A39">
        <v>27.393750000000001</v>
      </c>
      <c r="B39">
        <f t="shared" si="6"/>
        <v>34</v>
      </c>
      <c r="C39">
        <f t="shared" si="2"/>
        <v>7.0988802248840024</v>
      </c>
      <c r="D39">
        <f t="shared" si="3"/>
        <v>23.560935244062094</v>
      </c>
      <c r="E39">
        <f t="shared" si="4"/>
        <v>14.690468953335357</v>
      </c>
      <c r="F39">
        <f t="shared" si="5"/>
        <v>3.8328147559379069</v>
      </c>
      <c r="G39">
        <f t="shared" si="7"/>
        <v>1.757853379955169</v>
      </c>
      <c r="H39">
        <f t="shared" si="8"/>
        <v>25.318788624017262</v>
      </c>
      <c r="S39">
        <v>28.293749999999999</v>
      </c>
      <c r="T39">
        <v>30.315122072920154</v>
      </c>
      <c r="U39">
        <f t="shared" si="0"/>
        <v>-2.0213720729201547</v>
      </c>
      <c r="W39">
        <f t="shared" si="1"/>
        <v>2.0213720729201547</v>
      </c>
    </row>
    <row r="40" spans="1:23" x14ac:dyDescent="0.25">
      <c r="A40">
        <v>28.21875</v>
      </c>
      <c r="B40">
        <f t="shared" si="6"/>
        <v>35</v>
      </c>
      <c r="C40">
        <f t="shared" si="2"/>
        <v>7.0644391458008213</v>
      </c>
      <c r="D40">
        <f t="shared" si="3"/>
        <v>23.526494164978914</v>
      </c>
      <c r="E40">
        <f t="shared" si="4"/>
        <v>22.017264821289434</v>
      </c>
      <c r="F40">
        <f t="shared" si="5"/>
        <v>4.6922558350210863</v>
      </c>
      <c r="G40">
        <f t="shared" si="7"/>
        <v>2.771647489365888</v>
      </c>
      <c r="H40">
        <f t="shared" si="8"/>
        <v>26.298141654344803</v>
      </c>
      <c r="S40">
        <v>27.125</v>
      </c>
      <c r="T40">
        <v>25.559667702508317</v>
      </c>
      <c r="U40">
        <f t="shared" si="0"/>
        <v>1.5653322974916826</v>
      </c>
      <c r="W40">
        <f t="shared" si="1"/>
        <v>1.5653322974916826</v>
      </c>
    </row>
    <row r="41" spans="1:23" x14ac:dyDescent="0.25">
      <c r="A41">
        <v>32.037500000000001</v>
      </c>
      <c r="B41">
        <f t="shared" si="6"/>
        <v>36</v>
      </c>
      <c r="C41">
        <f t="shared" si="2"/>
        <v>7.0279047209356564</v>
      </c>
      <c r="D41">
        <f t="shared" si="3"/>
        <v>23.489959740113747</v>
      </c>
      <c r="E41">
        <f t="shared" si="4"/>
        <v>73.060444494376384</v>
      </c>
      <c r="F41">
        <f t="shared" si="5"/>
        <v>8.5475402598862544</v>
      </c>
      <c r="G41">
        <f t="shared" si="7"/>
        <v>2.9086254457500669</v>
      </c>
      <c r="H41">
        <f t="shared" si="8"/>
        <v>26.398585185863816</v>
      </c>
      <c r="S41">
        <v>28.081250000000001</v>
      </c>
      <c r="T41">
        <v>26.483670859655199</v>
      </c>
      <c r="U41">
        <f t="shared" si="0"/>
        <v>1.5975791403448021</v>
      </c>
      <c r="W41">
        <f t="shared" si="1"/>
        <v>1.5975791403448021</v>
      </c>
    </row>
    <row r="42" spans="1:23" x14ac:dyDescent="0.25">
      <c r="A42">
        <v>34.225000000000001</v>
      </c>
      <c r="B42">
        <f t="shared" si="6"/>
        <v>37</v>
      </c>
      <c r="C42">
        <f t="shared" si="2"/>
        <v>6.9892877762270711</v>
      </c>
      <c r="D42">
        <f t="shared" si="3"/>
        <v>23.451342795405161</v>
      </c>
      <c r="E42">
        <f t="shared" si="4"/>
        <v>116.07168956211832</v>
      </c>
      <c r="F42">
        <f t="shared" si="5"/>
        <v>10.773657204594841</v>
      </c>
      <c r="G42">
        <f t="shared" si="7"/>
        <v>6.2915153735709692</v>
      </c>
      <c r="H42">
        <f t="shared" si="8"/>
        <v>29.742858168976131</v>
      </c>
      <c r="S42">
        <v>26.743749999999999</v>
      </c>
      <c r="T42">
        <v>26.759139783435291</v>
      </c>
      <c r="U42">
        <f t="shared" si="0"/>
        <v>-1.5389783435292514E-2</v>
      </c>
      <c r="W42">
        <f t="shared" si="1"/>
        <v>1.5389783435292514E-2</v>
      </c>
    </row>
    <row r="43" spans="1:23" x14ac:dyDescent="0.25">
      <c r="A43">
        <v>32.006259999999997</v>
      </c>
      <c r="B43">
        <f t="shared" si="6"/>
        <v>38</v>
      </c>
      <c r="C43">
        <f t="shared" si="2"/>
        <v>6.9485997547092051</v>
      </c>
      <c r="D43">
        <f t="shared" si="3"/>
        <v>23.410654773887295</v>
      </c>
      <c r="E43">
        <f t="shared" si="4"/>
        <v>73.884429203176012</v>
      </c>
      <c r="F43">
        <f t="shared" si="5"/>
        <v>8.5956052261127027</v>
      </c>
      <c r="G43">
        <f t="shared" si="7"/>
        <v>7.0653206055610509</v>
      </c>
      <c r="H43">
        <f t="shared" si="8"/>
        <v>30.475975379448347</v>
      </c>
      <c r="S43">
        <v>29.787500000000001</v>
      </c>
      <c r="T43">
        <v>25.130137489452942</v>
      </c>
      <c r="U43">
        <f t="shared" si="0"/>
        <v>4.6573625105470597</v>
      </c>
      <c r="W43">
        <f t="shared" si="1"/>
        <v>4.6573625105470597</v>
      </c>
    </row>
    <row r="44" spans="1:23" x14ac:dyDescent="0.25">
      <c r="A44">
        <v>34.543750000000003</v>
      </c>
      <c r="B44">
        <f t="shared" si="6"/>
        <v>39</v>
      </c>
      <c r="C44">
        <f t="shared" si="2"/>
        <v>6.9058527131209555</v>
      </c>
      <c r="D44">
        <f t="shared" si="3"/>
        <v>23.367907732299045</v>
      </c>
      <c r="E44">
        <f t="shared" si="4"/>
        <v>124.89945039253128</v>
      </c>
      <c r="F44">
        <f t="shared" si="5"/>
        <v>11.175842267700958</v>
      </c>
      <c r="G44">
        <f t="shared" si="7"/>
        <v>5.0707231508828308</v>
      </c>
      <c r="H44">
        <f t="shared" si="8"/>
        <v>28.438630883181876</v>
      </c>
      <c r="S44">
        <v>24.606249999999999</v>
      </c>
      <c r="T44">
        <v>28.255737807207964</v>
      </c>
      <c r="U44">
        <f t="shared" si="0"/>
        <v>-3.6494878072079651</v>
      </c>
      <c r="W44">
        <f t="shared" si="1"/>
        <v>3.6494878072079651</v>
      </c>
    </row>
    <row r="45" spans="1:23" x14ac:dyDescent="0.25">
      <c r="A45">
        <v>34.387500000000003</v>
      </c>
      <c r="B45">
        <f t="shared" si="6"/>
        <v>40</v>
      </c>
      <c r="C45">
        <f t="shared" si="2"/>
        <v>6.8610593183332984</v>
      </c>
      <c r="D45">
        <f t="shared" si="3"/>
        <v>23.323114337511392</v>
      </c>
      <c r="E45">
        <f t="shared" si="4"/>
        <v>122.42063008828354</v>
      </c>
      <c r="F45">
        <f t="shared" si="5"/>
        <v>11.064385662488611</v>
      </c>
      <c r="G45">
        <f t="shared" si="7"/>
        <v>8.2788887854125921</v>
      </c>
      <c r="H45">
        <f t="shared" si="8"/>
        <v>31.602003122923982</v>
      </c>
      <c r="S45">
        <v>18.893750000000001</v>
      </c>
      <c r="T45">
        <v>22.677243503405233</v>
      </c>
      <c r="U45">
        <f t="shared" si="0"/>
        <v>-3.7834935034052322</v>
      </c>
      <c r="W45">
        <f t="shared" si="1"/>
        <v>3.7834935034052322</v>
      </c>
    </row>
    <row r="46" spans="1:23" x14ac:dyDescent="0.25">
      <c r="A46">
        <v>28.293749999999999</v>
      </c>
      <c r="B46">
        <f t="shared" si="6"/>
        <v>41</v>
      </c>
      <c r="C46">
        <f t="shared" si="2"/>
        <v>6.8142328435958337</v>
      </c>
      <c r="D46">
        <f t="shared" si="3"/>
        <v>23.276287862773927</v>
      </c>
      <c r="E46">
        <f t="shared" si="4"/>
        <v>25.174926298497226</v>
      </c>
      <c r="F46">
        <f t="shared" si="5"/>
        <v>5.0174621372260724</v>
      </c>
      <c r="G46">
        <f t="shared" si="7"/>
        <v>7.0388342101462271</v>
      </c>
      <c r="H46">
        <f t="shared" si="8"/>
        <v>30.315122072920154</v>
      </c>
      <c r="S46">
        <v>19.131250000000001</v>
      </c>
      <c r="T46">
        <v>19.926231280208906</v>
      </c>
      <c r="U46">
        <f t="shared" si="0"/>
        <v>-0.79498128020890491</v>
      </c>
      <c r="W46">
        <f t="shared" si="1"/>
        <v>0.79498128020890491</v>
      </c>
    </row>
    <row r="47" spans="1:23" x14ac:dyDescent="0.25">
      <c r="A47">
        <v>27.125</v>
      </c>
      <c r="B47">
        <f t="shared" si="6"/>
        <v>42</v>
      </c>
      <c r="C47">
        <f t="shared" si="2"/>
        <v>6.7653871646036201</v>
      </c>
      <c r="D47">
        <f t="shared" si="3"/>
        <v>23.227442183781712</v>
      </c>
      <c r="E47">
        <f t="shared" si="4"/>
        <v>15.190956930764274</v>
      </c>
      <c r="F47">
        <f t="shared" si="5"/>
        <v>3.8975578162182885</v>
      </c>
      <c r="G47">
        <f t="shared" si="7"/>
        <v>2.3322255187266059</v>
      </c>
      <c r="H47">
        <f t="shared" si="8"/>
        <v>25.559667702508317</v>
      </c>
      <c r="S47">
        <v>24.431249999999999</v>
      </c>
      <c r="T47">
        <v>21.18057489844157</v>
      </c>
      <c r="U47">
        <f t="shared" si="0"/>
        <v>3.2506751015584285</v>
      </c>
      <c r="W47">
        <f t="shared" si="1"/>
        <v>3.2506751015584285</v>
      </c>
    </row>
    <row r="48" spans="1:23" x14ac:dyDescent="0.25">
      <c r="A48">
        <v>28.081250000000001</v>
      </c>
      <c r="B48">
        <f t="shared" si="6"/>
        <v>43</v>
      </c>
      <c r="C48">
        <f t="shared" si="2"/>
        <v>6.7145367553855211</v>
      </c>
      <c r="D48">
        <f t="shared" si="3"/>
        <v>23.176591774563612</v>
      </c>
      <c r="E48">
        <f t="shared" si="4"/>
        <v>24.055672308340828</v>
      </c>
      <c r="F48">
        <f t="shared" si="5"/>
        <v>4.9046582254363891</v>
      </c>
      <c r="G48">
        <f t="shared" si="7"/>
        <v>3.3070790850915879</v>
      </c>
      <c r="H48">
        <f t="shared" si="8"/>
        <v>26.483670859655199</v>
      </c>
      <c r="S48">
        <v>19.868749999999999</v>
      </c>
      <c r="T48">
        <v>24.734443300729072</v>
      </c>
      <c r="U48">
        <f t="shared" si="0"/>
        <v>-4.8656933007290739</v>
      </c>
      <c r="W48">
        <f t="shared" si="1"/>
        <v>4.8656933007290739</v>
      </c>
    </row>
    <row r="49" spans="1:23" x14ac:dyDescent="0.25">
      <c r="A49">
        <v>26.743749999999999</v>
      </c>
      <c r="B49">
        <f t="shared" si="6"/>
        <v>44</v>
      </c>
      <c r="C49">
        <f t="shared" si="2"/>
        <v>6.6616966840152312</v>
      </c>
      <c r="D49">
        <f t="shared" si="3"/>
        <v>23.123751703193321</v>
      </c>
      <c r="E49">
        <f t="shared" si="4"/>
        <v>13.104387668883248</v>
      </c>
      <c r="F49">
        <f t="shared" si="5"/>
        <v>3.6199982968066777</v>
      </c>
      <c r="G49">
        <f t="shared" si="7"/>
        <v>3.6353880802419711</v>
      </c>
      <c r="H49">
        <f t="shared" si="8"/>
        <v>26.759139783435291</v>
      </c>
      <c r="S49">
        <v>17.918749999999999</v>
      </c>
      <c r="T49">
        <v>19.183869984591396</v>
      </c>
      <c r="U49">
        <f t="shared" si="0"/>
        <v>-1.2651199845913972</v>
      </c>
      <c r="W49">
        <f t="shared" si="1"/>
        <v>1.2651199845913972</v>
      </c>
    </row>
    <row r="50" spans="1:23" x14ac:dyDescent="0.25">
      <c r="A50">
        <v>29.787500000000001</v>
      </c>
      <c r="B50">
        <f t="shared" si="6"/>
        <v>45</v>
      </c>
      <c r="C50">
        <f t="shared" si="2"/>
        <v>6.606882608146277</v>
      </c>
      <c r="D50">
        <f t="shared" si="3"/>
        <v>23.068937627324367</v>
      </c>
      <c r="E50">
        <f t="shared" si="4"/>
        <v>45.139080355532855</v>
      </c>
      <c r="F50">
        <f t="shared" si="5"/>
        <v>6.7185623726756347</v>
      </c>
      <c r="G50">
        <f t="shared" si="7"/>
        <v>2.0611998621285759</v>
      </c>
      <c r="H50">
        <f t="shared" si="8"/>
        <v>25.130137489452942</v>
      </c>
      <c r="S50">
        <v>19.393750000000001</v>
      </c>
      <c r="T50">
        <v>19.746980500480266</v>
      </c>
      <c r="U50">
        <f t="shared" si="0"/>
        <v>-0.35323050048026516</v>
      </c>
      <c r="W50">
        <f t="shared" si="1"/>
        <v>0.35323050048026516</v>
      </c>
    </row>
    <row r="51" spans="1:23" x14ac:dyDescent="0.25">
      <c r="A51">
        <v>24.606249999999999</v>
      </c>
      <c r="B51">
        <f t="shared" si="6"/>
        <v>46</v>
      </c>
      <c r="C51">
        <f t="shared" si="2"/>
        <v>6.550110770372326</v>
      </c>
      <c r="D51">
        <f t="shared" si="3"/>
        <v>23.012165789550416</v>
      </c>
      <c r="E51">
        <f t="shared" si="4"/>
        <v>2.5411044700046723</v>
      </c>
      <c r="F51">
        <f t="shared" si="5"/>
        <v>1.5940842104495836</v>
      </c>
      <c r="G51">
        <f t="shared" si="7"/>
        <v>5.2435720176575469</v>
      </c>
      <c r="H51">
        <f t="shared" si="8"/>
        <v>28.255737807207964</v>
      </c>
      <c r="S51">
        <v>22.356249999999999</v>
      </c>
      <c r="T51">
        <v>20.930369324764076</v>
      </c>
      <c r="U51">
        <f t="shared" si="0"/>
        <v>1.4258806752359234</v>
      </c>
      <c r="W51">
        <f t="shared" si="1"/>
        <v>1.4258806752359234</v>
      </c>
    </row>
    <row r="52" spans="1:23" x14ac:dyDescent="0.25">
      <c r="A52">
        <v>18.893750000000001</v>
      </c>
      <c r="B52">
        <f t="shared" si="6"/>
        <v>47</v>
      </c>
      <c r="C52">
        <f t="shared" si="2"/>
        <v>6.4913979934141439</v>
      </c>
      <c r="D52">
        <f t="shared" si="3"/>
        <v>22.953453012592234</v>
      </c>
      <c r="E52">
        <f t="shared" si="4"/>
        <v>16.481188550450458</v>
      </c>
      <c r="F52">
        <f t="shared" si="5"/>
        <v>-4.0597030125922338</v>
      </c>
      <c r="G52">
        <f t="shared" si="7"/>
        <v>-0.27620950918700271</v>
      </c>
      <c r="H52">
        <f t="shared" si="8"/>
        <v>22.677243503405233</v>
      </c>
      <c r="S52">
        <v>20.993749999999999</v>
      </c>
      <c r="T52">
        <v>22.655784857660564</v>
      </c>
      <c r="U52">
        <f t="shared" si="0"/>
        <v>-1.662034857660565</v>
      </c>
      <c r="W52">
        <f t="shared" si="1"/>
        <v>1.662034857660565</v>
      </c>
    </row>
    <row r="53" spans="1:23" x14ac:dyDescent="0.25">
      <c r="A53">
        <v>19.131250000000001</v>
      </c>
      <c r="B53">
        <f t="shared" si="6"/>
        <v>48</v>
      </c>
      <c r="C53">
        <f t="shared" si="2"/>
        <v>6.4307616751346703</v>
      </c>
      <c r="D53">
        <f t="shared" si="3"/>
        <v>22.892816694312764</v>
      </c>
      <c r="E53">
        <f t="shared" si="4"/>
        <v>14.14938399576304</v>
      </c>
      <c r="F53">
        <f t="shared" si="5"/>
        <v>-3.7615666943127621</v>
      </c>
      <c r="G53">
        <f t="shared" si="7"/>
        <v>-2.9665854141038563</v>
      </c>
      <c r="H53">
        <f t="shared" si="8"/>
        <v>19.926231280208906</v>
      </c>
      <c r="S53">
        <v>22.21875</v>
      </c>
      <c r="T53">
        <v>20.742434421118119</v>
      </c>
      <c r="U53">
        <f t="shared" si="0"/>
        <v>1.4763155788818807</v>
      </c>
      <c r="W53">
        <f t="shared" si="1"/>
        <v>1.4763155788818807</v>
      </c>
    </row>
    <row r="54" spans="1:23" x14ac:dyDescent="0.25">
      <c r="A54">
        <v>24.431249999999999</v>
      </c>
      <c r="B54">
        <f t="shared" si="6"/>
        <v>49</v>
      </c>
      <c r="C54">
        <f t="shared" si="2"/>
        <v>6.3682197833836511</v>
      </c>
      <c r="D54">
        <f t="shared" si="3"/>
        <v>22.830274802561743</v>
      </c>
      <c r="E54">
        <f t="shared" si="4"/>
        <v>2.5631215828124629</v>
      </c>
      <c r="F54">
        <f t="shared" si="5"/>
        <v>1.600975197438256</v>
      </c>
      <c r="G54">
        <f t="shared" si="7"/>
        <v>-1.6496999041201712</v>
      </c>
      <c r="H54">
        <f t="shared" si="8"/>
        <v>21.18057489844157</v>
      </c>
      <c r="S54">
        <v>24.875</v>
      </c>
      <c r="T54">
        <v>22.623448006646075</v>
      </c>
      <c r="U54">
        <f t="shared" si="0"/>
        <v>2.2515519933539245</v>
      </c>
      <c r="W54">
        <f t="shared" si="1"/>
        <v>2.2515519933539245</v>
      </c>
    </row>
    <row r="55" spans="1:23" x14ac:dyDescent="0.25">
      <c r="A55">
        <v>19.868749999999999</v>
      </c>
      <c r="B55">
        <f t="shared" si="6"/>
        <v>50</v>
      </c>
      <c r="C55">
        <f t="shared" si="2"/>
        <v>6.3037908506733764</v>
      </c>
      <c r="D55">
        <f t="shared" si="3"/>
        <v>22.765845869851468</v>
      </c>
      <c r="E55">
        <f t="shared" si="4"/>
        <v>8.3931644791104407</v>
      </c>
      <c r="F55">
        <f t="shared" si="5"/>
        <v>-2.8970958698514693</v>
      </c>
      <c r="G55">
        <f t="shared" si="7"/>
        <v>1.9685974308776049</v>
      </c>
      <c r="H55">
        <f t="shared" si="8"/>
        <v>24.734443300729072</v>
      </c>
      <c r="S55">
        <v>25.162500000000001</v>
      </c>
      <c r="T55">
        <v>24.253907023094865</v>
      </c>
      <c r="U55">
        <f t="shared" si="0"/>
        <v>0.90859297690513685</v>
      </c>
      <c r="W55">
        <f t="shared" si="1"/>
        <v>0.90859297690513685</v>
      </c>
    </row>
    <row r="56" spans="1:23" x14ac:dyDescent="0.25">
      <c r="A56">
        <v>17.918749999999999</v>
      </c>
      <c r="B56">
        <f t="shared" si="6"/>
        <v>51</v>
      </c>
      <c r="C56">
        <f t="shared" si="2"/>
        <v>6.2374939686870992</v>
      </c>
      <c r="D56">
        <f t="shared" si="3"/>
        <v>22.699548987865192</v>
      </c>
      <c r="E56">
        <f t="shared" si="4"/>
        <v>22.856038962372853</v>
      </c>
      <c r="F56">
        <f t="shared" si="5"/>
        <v>-4.7807989878651931</v>
      </c>
      <c r="G56">
        <f t="shared" si="7"/>
        <v>-3.5156790032737972</v>
      </c>
      <c r="H56">
        <f t="shared" si="8"/>
        <v>19.183869984591396</v>
      </c>
      <c r="S56">
        <v>23.575009999999999</v>
      </c>
      <c r="T56">
        <v>23.797464919386492</v>
      </c>
      <c r="U56">
        <f t="shared" si="0"/>
        <v>-0.22245491938649309</v>
      </c>
      <c r="W56">
        <f t="shared" si="1"/>
        <v>0.22245491938649309</v>
      </c>
    </row>
    <row r="57" spans="1:23" x14ac:dyDescent="0.25">
      <c r="A57">
        <v>19.393750000000001</v>
      </c>
      <c r="B57">
        <f t="shared" si="6"/>
        <v>52</v>
      </c>
      <c r="C57">
        <f t="shared" si="2"/>
        <v>6.1693487826217535</v>
      </c>
      <c r="D57">
        <f t="shared" si="3"/>
        <v>22.631403801799845</v>
      </c>
      <c r="E57">
        <f t="shared" si="4"/>
        <v>10.482402140308984</v>
      </c>
      <c r="F57">
        <f t="shared" si="5"/>
        <v>-3.2376538017998442</v>
      </c>
      <c r="G57">
        <f t="shared" si="7"/>
        <v>-2.8844233013195777</v>
      </c>
      <c r="H57">
        <f t="shared" si="8"/>
        <v>19.746980500480266</v>
      </c>
      <c r="S57">
        <v>20.662500000000001</v>
      </c>
      <c r="T57">
        <v>22.721878773196153</v>
      </c>
      <c r="U57">
        <f t="shared" si="0"/>
        <v>-2.0593787731961513</v>
      </c>
      <c r="W57">
        <f t="shared" si="1"/>
        <v>2.0593787731961513</v>
      </c>
    </row>
    <row r="58" spans="1:23" x14ac:dyDescent="0.25">
      <c r="A58">
        <v>22.356249999999999</v>
      </c>
      <c r="B58">
        <f t="shared" si="6"/>
        <v>53</v>
      </c>
      <c r="C58">
        <f t="shared" si="2"/>
        <v>6.0993754853666653</v>
      </c>
      <c r="D58">
        <f t="shared" si="3"/>
        <v>22.561430504544756</v>
      </c>
      <c r="E58">
        <f t="shared" si="4"/>
        <v>4.209903944524087E-2</v>
      </c>
      <c r="F58">
        <f t="shared" si="5"/>
        <v>-0.20518050454475656</v>
      </c>
      <c r="G58">
        <f t="shared" si="7"/>
        <v>-1.6310611797806804</v>
      </c>
      <c r="H58">
        <f t="shared" si="8"/>
        <v>20.930369324764076</v>
      </c>
      <c r="S58">
        <v>23.543749999999999</v>
      </c>
      <c r="T58">
        <v>20.779232501585632</v>
      </c>
      <c r="U58">
        <f t="shared" si="0"/>
        <v>2.7645174984143672</v>
      </c>
      <c r="W58">
        <f t="shared" si="1"/>
        <v>2.7645174984143672</v>
      </c>
    </row>
    <row r="59" spans="1:23" x14ac:dyDescent="0.25">
      <c r="A59">
        <v>20.993749999999999</v>
      </c>
      <c r="B59">
        <f t="shared" si="6"/>
        <v>54</v>
      </c>
      <c r="C59">
        <f t="shared" si="2"/>
        <v>6.0275948115199594</v>
      </c>
      <c r="D59">
        <f t="shared" si="3"/>
        <v>22.489649830698049</v>
      </c>
      <c r="E59">
        <f t="shared" si="4"/>
        <v>2.2377163034824559</v>
      </c>
      <c r="F59">
        <f t="shared" si="5"/>
        <v>-1.4958998306980504</v>
      </c>
      <c r="G59">
        <f t="shared" si="7"/>
        <v>0.16613502696251425</v>
      </c>
      <c r="H59">
        <f t="shared" si="8"/>
        <v>22.655784857660564</v>
      </c>
      <c r="S59">
        <v>24.256250000000001</v>
      </c>
      <c r="T59">
        <v>23.892056514589118</v>
      </c>
      <c r="U59">
        <f t="shared" si="0"/>
        <v>0.36419348541088326</v>
      </c>
      <c r="W59">
        <f t="shared" si="1"/>
        <v>0.36419348541088326</v>
      </c>
    </row>
    <row r="60" spans="1:23" x14ac:dyDescent="0.25">
      <c r="A60">
        <v>22.21875</v>
      </c>
      <c r="B60">
        <f t="shared" si="6"/>
        <v>55</v>
      </c>
      <c r="C60">
        <f t="shared" si="2"/>
        <v>5.9540280312444498</v>
      </c>
      <c r="D60">
        <f t="shared" si="3"/>
        <v>22.416083050422543</v>
      </c>
      <c r="E60">
        <f t="shared" si="4"/>
        <v>3.8940332789065904E-2</v>
      </c>
      <c r="F60">
        <f t="shared" si="5"/>
        <v>-0.19733305042254301</v>
      </c>
      <c r="G60">
        <f t="shared" si="7"/>
        <v>-1.6736486293044233</v>
      </c>
      <c r="H60">
        <f t="shared" si="8"/>
        <v>20.742434421118119</v>
      </c>
      <c r="S60">
        <v>25.168749999999999</v>
      </c>
      <c r="T60">
        <v>23.116656177752269</v>
      </c>
      <c r="U60">
        <f t="shared" si="0"/>
        <v>2.0520938222477305</v>
      </c>
      <c r="W60">
        <f t="shared" si="1"/>
        <v>2.0520938222477305</v>
      </c>
    </row>
    <row r="61" spans="1:23" x14ac:dyDescent="0.25">
      <c r="A61">
        <v>24.875</v>
      </c>
      <c r="B61">
        <f t="shared" si="6"/>
        <v>56</v>
      </c>
      <c r="C61">
        <f t="shared" si="2"/>
        <v>5.8786969439648331</v>
      </c>
      <c r="D61">
        <f t="shared" si="3"/>
        <v>22.340751963142925</v>
      </c>
      <c r="E61">
        <f t="shared" si="4"/>
        <v>6.422413112313941</v>
      </c>
      <c r="F61">
        <f t="shared" si="5"/>
        <v>2.5342480368570754</v>
      </c>
      <c r="G61">
        <f t="shared" si="7"/>
        <v>0.28269604350315086</v>
      </c>
      <c r="H61">
        <f t="shared" si="8"/>
        <v>22.623448006646075</v>
      </c>
      <c r="S61">
        <v>27.175000000000001</v>
      </c>
      <c r="T61">
        <v>24.052054569625131</v>
      </c>
      <c r="U61">
        <f t="shared" si="0"/>
        <v>3.1229454303748696</v>
      </c>
      <c r="W61">
        <f t="shared" si="1"/>
        <v>3.1229454303748696</v>
      </c>
    </row>
    <row r="62" spans="1:23" x14ac:dyDescent="0.25">
      <c r="A62">
        <v>25.162500000000001</v>
      </c>
      <c r="B62">
        <f t="shared" si="6"/>
        <v>57</v>
      </c>
      <c r="C62">
        <f t="shared" si="2"/>
        <v>5.80162387190805</v>
      </c>
      <c r="D62">
        <f t="shared" si="3"/>
        <v>22.263678891086141</v>
      </c>
      <c r="E62">
        <f t="shared" si="4"/>
        <v>8.4031638214845863</v>
      </c>
      <c r="F62">
        <f t="shared" si="5"/>
        <v>2.8988211089138609</v>
      </c>
      <c r="G62">
        <f t="shared" si="7"/>
        <v>1.9902281320087241</v>
      </c>
      <c r="H62">
        <f t="shared" si="8"/>
        <v>24.253907023094865</v>
      </c>
      <c r="S62">
        <v>22.587499999999999</v>
      </c>
      <c r="T62">
        <v>25.531928368209833</v>
      </c>
      <c r="U62">
        <f t="shared" si="0"/>
        <v>-2.9444283682098344</v>
      </c>
      <c r="W62">
        <f t="shared" si="1"/>
        <v>2.9444283682098344</v>
      </c>
    </row>
    <row r="63" spans="1:23" x14ac:dyDescent="0.25">
      <c r="A63">
        <v>23.575009999999999</v>
      </c>
      <c r="B63">
        <f t="shared" si="6"/>
        <v>58</v>
      </c>
      <c r="C63">
        <f t="shared" si="2"/>
        <v>5.722831653488722</v>
      </c>
      <c r="D63">
        <f t="shared" si="3"/>
        <v>22.184886672666813</v>
      </c>
      <c r="E63">
        <f t="shared" si="4"/>
        <v>1.9324428651958867</v>
      </c>
      <c r="F63">
        <f t="shared" si="5"/>
        <v>1.3901233273331854</v>
      </c>
      <c r="G63">
        <f t="shared" si="7"/>
        <v>1.6125782467196772</v>
      </c>
      <c r="H63">
        <f t="shared" si="8"/>
        <v>23.797464919386492</v>
      </c>
      <c r="S63">
        <v>17.493749999999999</v>
      </c>
      <c r="T63">
        <v>21.10749773536353</v>
      </c>
      <c r="U63">
        <f t="shared" si="0"/>
        <v>-3.6137477353635319</v>
      </c>
      <c r="W63">
        <f t="shared" si="1"/>
        <v>3.6137477353635319</v>
      </c>
    </row>
    <row r="64" spans="1:23" x14ac:dyDescent="0.25">
      <c r="A64">
        <v>20.662500000000001</v>
      </c>
      <c r="B64">
        <f t="shared" si="6"/>
        <v>59</v>
      </c>
      <c r="C64">
        <f t="shared" si="2"/>
        <v>5.6423436365416419</v>
      </c>
      <c r="D64">
        <f t="shared" si="3"/>
        <v>22.104398655719734</v>
      </c>
      <c r="E64">
        <f t="shared" si="4"/>
        <v>2.0790717333663729</v>
      </c>
      <c r="F64">
        <f t="shared" si="5"/>
        <v>-1.4418986557197329</v>
      </c>
      <c r="G64">
        <f t="shared" si="7"/>
        <v>0.6174801174764184</v>
      </c>
      <c r="H64">
        <f t="shared" si="8"/>
        <v>22.721878773196153</v>
      </c>
      <c r="S64">
        <v>19</v>
      </c>
      <c r="T64">
        <v>18.528407353157704</v>
      </c>
      <c r="U64">
        <f t="shared" si="0"/>
        <v>0.4715926468422964</v>
      </c>
      <c r="W64">
        <f t="shared" si="1"/>
        <v>0.4715926468422964</v>
      </c>
    </row>
    <row r="65" spans="1:23" x14ac:dyDescent="0.25">
      <c r="A65">
        <v>23.543749999999999</v>
      </c>
      <c r="B65">
        <f t="shared" si="6"/>
        <v>60</v>
      </c>
      <c r="C65">
        <f t="shared" si="2"/>
        <v>5.5601836714033066</v>
      </c>
      <c r="D65">
        <f t="shared" si="3"/>
        <v>22.022238690581396</v>
      </c>
      <c r="E65">
        <f t="shared" si="4"/>
        <v>2.3149966646887119</v>
      </c>
      <c r="F65">
        <f t="shared" si="5"/>
        <v>1.521511309418603</v>
      </c>
      <c r="G65">
        <f t="shared" si="7"/>
        <v>-1.2430061889957633</v>
      </c>
      <c r="H65">
        <f t="shared" si="8"/>
        <v>20.779232501585632</v>
      </c>
      <c r="S65">
        <v>21.043749999999999</v>
      </c>
      <c r="T65">
        <v>20.735412671194315</v>
      </c>
      <c r="U65">
        <f t="shared" si="0"/>
        <v>0.30833732880568476</v>
      </c>
      <c r="W65">
        <f t="shared" si="1"/>
        <v>0.30833732880568476</v>
      </c>
    </row>
    <row r="66" spans="1:23" x14ac:dyDescent="0.25">
      <c r="A66">
        <v>24.256250000000001</v>
      </c>
      <c r="B66">
        <f t="shared" si="6"/>
        <v>61</v>
      </c>
      <c r="C66">
        <f t="shared" si="2"/>
        <v>5.476376103844542</v>
      </c>
      <c r="D66">
        <f t="shared" si="3"/>
        <v>21.938431123022632</v>
      </c>
      <c r="E66">
        <f t="shared" si="4"/>
        <v>5.372284346472636</v>
      </c>
      <c r="F66">
        <f t="shared" si="5"/>
        <v>2.3178188769773698</v>
      </c>
      <c r="G66">
        <f t="shared" si="7"/>
        <v>1.9536253915664861</v>
      </c>
      <c r="H66">
        <f t="shared" si="8"/>
        <v>23.892056514589118</v>
      </c>
      <c r="S66">
        <v>19.274999999999999</v>
      </c>
      <c r="T66">
        <v>21.20641990387978</v>
      </c>
      <c r="U66">
        <f t="shared" si="0"/>
        <v>-1.9314199038797817</v>
      </c>
      <c r="W66">
        <f t="shared" si="1"/>
        <v>1.9314199038797817</v>
      </c>
    </row>
    <row r="67" spans="1:23" x14ac:dyDescent="0.25">
      <c r="A67">
        <v>25.168749999999999</v>
      </c>
      <c r="B67">
        <f t="shared" si="6"/>
        <v>62</v>
      </c>
      <c r="C67">
        <f t="shared" si="2"/>
        <v>5.3909457678563326</v>
      </c>
      <c r="D67">
        <f t="shared" si="3"/>
        <v>21.853000787034425</v>
      </c>
      <c r="E67">
        <f t="shared" si="4"/>
        <v>10.994192843281827</v>
      </c>
      <c r="F67">
        <f t="shared" si="5"/>
        <v>3.3157492129655743</v>
      </c>
      <c r="G67">
        <f t="shared" si="7"/>
        <v>1.2636553907178425</v>
      </c>
      <c r="H67">
        <f t="shared" si="8"/>
        <v>23.116656177752269</v>
      </c>
      <c r="S67">
        <v>21.0625</v>
      </c>
      <c r="T67">
        <v>19.241195402657482</v>
      </c>
      <c r="U67">
        <f t="shared" ref="U67:U130" si="9">S67-T67</f>
        <v>1.8213045973425182</v>
      </c>
      <c r="W67">
        <f t="shared" ref="W67:W130" si="10">ABS(U67)</f>
        <v>1.8213045973425182</v>
      </c>
    </row>
    <row r="68" spans="1:23" x14ac:dyDescent="0.25">
      <c r="A68">
        <v>27.175000000000001</v>
      </c>
      <c r="B68">
        <f t="shared" si="6"/>
        <v>63</v>
      </c>
      <c r="C68">
        <f t="shared" si="2"/>
        <v>5.3039179782909684</v>
      </c>
      <c r="D68">
        <f t="shared" si="3"/>
        <v>21.76597299746906</v>
      </c>
      <c r="E68">
        <f t="shared" si="4"/>
        <v>29.257573114108855</v>
      </c>
      <c r="F68">
        <f t="shared" si="5"/>
        <v>5.4090270025309408</v>
      </c>
      <c r="G68">
        <f t="shared" si="7"/>
        <v>2.2860815721560708</v>
      </c>
      <c r="H68">
        <f t="shared" si="8"/>
        <v>24.052054569625131</v>
      </c>
      <c r="S68">
        <v>16.137499999999999</v>
      </c>
      <c r="T68">
        <v>21.587446278199749</v>
      </c>
      <c r="U68">
        <f t="shared" si="9"/>
        <v>-5.4499462781997501</v>
      </c>
      <c r="W68">
        <f t="shared" si="10"/>
        <v>5.4499462781997501</v>
      </c>
    </row>
    <row r="69" spans="1:23" x14ac:dyDescent="0.25">
      <c r="A69">
        <v>22.587499999999999</v>
      </c>
      <c r="B69">
        <f t="shared" si="6"/>
        <v>64</v>
      </c>
      <c r="C69">
        <f t="shared" si="2"/>
        <v>5.2153185233607129</v>
      </c>
      <c r="D69">
        <f t="shared" si="3"/>
        <v>21.677373542538803</v>
      </c>
      <c r="E69">
        <f t="shared" si="4"/>
        <v>0.82833016857086628</v>
      </c>
      <c r="F69">
        <f t="shared" si="5"/>
        <v>0.91012645746119603</v>
      </c>
      <c r="G69">
        <f t="shared" si="7"/>
        <v>3.8545548256710291</v>
      </c>
      <c r="H69">
        <f t="shared" si="8"/>
        <v>25.531928368209833</v>
      </c>
      <c r="S69">
        <v>15.28125</v>
      </c>
      <c r="T69">
        <v>16.55296539755992</v>
      </c>
      <c r="U69">
        <f t="shared" si="9"/>
        <v>-1.2717153975599196</v>
      </c>
      <c r="W69">
        <f t="shared" si="10"/>
        <v>1.2717153975599196</v>
      </c>
    </row>
    <row r="70" spans="1:23" x14ac:dyDescent="0.25">
      <c r="A70">
        <v>17.493749999999999</v>
      </c>
      <c r="B70">
        <f t="shared" si="6"/>
        <v>65</v>
      </c>
      <c r="C70">
        <f t="shared" si="2"/>
        <v>5.1251736569961919</v>
      </c>
      <c r="D70">
        <f t="shared" si="3"/>
        <v>21.587228676174284</v>
      </c>
      <c r="E70">
        <f t="shared" si="4"/>
        <v>16.756567672293581</v>
      </c>
      <c r="F70">
        <f t="shared" si="5"/>
        <v>-4.0934786761742856</v>
      </c>
      <c r="G70">
        <f t="shared" si="7"/>
        <v>-0.47973094081075363</v>
      </c>
      <c r="H70">
        <f t="shared" si="8"/>
        <v>21.10749773536353</v>
      </c>
      <c r="S70">
        <v>18.600000000000001</v>
      </c>
      <c r="T70">
        <v>17.634931381285643</v>
      </c>
      <c r="U70">
        <f t="shared" si="9"/>
        <v>0.96506861871435845</v>
      </c>
      <c r="W70">
        <f t="shared" si="10"/>
        <v>0.96506861871435845</v>
      </c>
    </row>
    <row r="71" spans="1:23" x14ac:dyDescent="0.25">
      <c r="A71">
        <v>19</v>
      </c>
      <c r="B71">
        <f t="shared" si="6"/>
        <v>66</v>
      </c>
      <c r="C71">
        <f t="shared" ref="C71:C134" si="11">C$2*COS(C$1*B71)+C$3*SIN(C$1*B71)</f>
        <v>5.0335100910667965</v>
      </c>
      <c r="D71">
        <f t="shared" ref="D71:D134" si="12">$A$2+C71</f>
        <v>21.49556511024489</v>
      </c>
      <c r="E71">
        <f t="shared" ref="E71:E134" si="13">(A71-D71)^2</f>
        <v>6.2278452194715888</v>
      </c>
      <c r="F71">
        <f t="shared" ref="F71:F134" si="14">A71-D71</f>
        <v>-2.4955651102448897</v>
      </c>
      <c r="G71">
        <f t="shared" si="7"/>
        <v>-2.9671577570871852</v>
      </c>
      <c r="H71">
        <f t="shared" si="8"/>
        <v>18.528407353157704</v>
      </c>
      <c r="S71">
        <v>18.3</v>
      </c>
      <c r="T71">
        <v>19.965494225493988</v>
      </c>
      <c r="U71">
        <f t="shared" si="9"/>
        <v>-1.6654942254939868</v>
      </c>
      <c r="W71">
        <f t="shared" si="10"/>
        <v>1.6654942254939868</v>
      </c>
    </row>
    <row r="72" spans="1:23" x14ac:dyDescent="0.25">
      <c r="A72">
        <v>21.043749999999999</v>
      </c>
      <c r="B72">
        <f t="shared" ref="B72:B135" si="15">B71+1</f>
        <v>67</v>
      </c>
      <c r="C72">
        <f t="shared" si="11"/>
        <v>4.9403549874653745</v>
      </c>
      <c r="D72">
        <f t="shared" si="12"/>
        <v>21.402410006643464</v>
      </c>
      <c r="E72">
        <f t="shared" si="13"/>
        <v>0.12863700036549025</v>
      </c>
      <c r="F72">
        <f t="shared" si="14"/>
        <v>-0.35866000664346487</v>
      </c>
      <c r="G72">
        <f t="shared" si="7"/>
        <v>-0.66699733544914963</v>
      </c>
      <c r="H72">
        <f t="shared" si="8"/>
        <v>20.735412671194315</v>
      </c>
      <c r="S72">
        <v>21.3</v>
      </c>
      <c r="T72">
        <v>18.487541548909356</v>
      </c>
      <c r="U72">
        <f t="shared" si="9"/>
        <v>2.8124584510906452</v>
      </c>
      <c r="W72">
        <f t="shared" si="10"/>
        <v>2.8124584510906452</v>
      </c>
    </row>
    <row r="73" spans="1:23" x14ac:dyDescent="0.25">
      <c r="A73">
        <v>19.274999999999999</v>
      </c>
      <c r="B73">
        <f t="shared" si="15"/>
        <v>68</v>
      </c>
      <c r="C73">
        <f t="shared" si="11"/>
        <v>4.8457359500595718</v>
      </c>
      <c r="D73">
        <f t="shared" si="12"/>
        <v>21.307790969237665</v>
      </c>
      <c r="E73">
        <f t="shared" si="13"/>
        <v>4.1322391246142116</v>
      </c>
      <c r="F73">
        <f t="shared" si="14"/>
        <v>-2.0327909692376664</v>
      </c>
      <c r="G73">
        <f t="shared" si="7"/>
        <v>-0.10137106535788437</v>
      </c>
      <c r="H73">
        <f t="shared" si="8"/>
        <v>21.20641990387978</v>
      </c>
      <c r="S73">
        <v>22.056249999999999</v>
      </c>
      <c r="T73">
        <v>21.573476089865146</v>
      </c>
      <c r="U73">
        <f t="shared" si="9"/>
        <v>0.48277391013485271</v>
      </c>
      <c r="W73">
        <f t="shared" si="10"/>
        <v>0.48277391013485271</v>
      </c>
    </row>
    <row r="74" spans="1:23" x14ac:dyDescent="0.25">
      <c r="A74">
        <v>21.0625</v>
      </c>
      <c r="B74">
        <f t="shared" si="15"/>
        <v>69</v>
      </c>
      <c r="C74">
        <f t="shared" si="11"/>
        <v>4.7496810165122207</v>
      </c>
      <c r="D74">
        <f t="shared" si="12"/>
        <v>21.211736035690311</v>
      </c>
      <c r="E74">
        <f t="shared" si="13"/>
        <v>2.2271394348559868E-2</v>
      </c>
      <c r="F74">
        <f t="shared" si="14"/>
        <v>-0.1492360356903113</v>
      </c>
      <c r="G74">
        <f t="shared" ref="G74:G137" si="16">$J$3*F73+$J$4*F72+$J$5*F71</f>
        <v>-1.9705406330328277</v>
      </c>
      <c r="H74">
        <f t="shared" ref="H74:H137" si="17">D74+G74</f>
        <v>19.241195402657482</v>
      </c>
      <c r="S74">
        <v>24.212499999999999</v>
      </c>
      <c r="T74">
        <v>21.172459453269834</v>
      </c>
      <c r="U74">
        <f t="shared" si="9"/>
        <v>3.0400405467301646</v>
      </c>
      <c r="W74">
        <f t="shared" si="10"/>
        <v>3.0400405467301646</v>
      </c>
    </row>
    <row r="75" spans="1:23" x14ac:dyDescent="0.25">
      <c r="A75">
        <v>16.137499999999999</v>
      </c>
      <c r="B75">
        <f t="shared" si="15"/>
        <v>70</v>
      </c>
      <c r="C75">
        <f t="shared" si="11"/>
        <v>4.6522186499731646</v>
      </c>
      <c r="D75">
        <f t="shared" si="12"/>
        <v>21.114273669151256</v>
      </c>
      <c r="E75">
        <f t="shared" si="13"/>
        <v>24.768276153957263</v>
      </c>
      <c r="F75">
        <f t="shared" si="14"/>
        <v>-4.9767736691512567</v>
      </c>
      <c r="G75">
        <f t="shared" si="16"/>
        <v>0.4731726090484919</v>
      </c>
      <c r="H75">
        <f t="shared" si="17"/>
        <v>21.587446278199749</v>
      </c>
      <c r="S75">
        <v>26.225000000000001</v>
      </c>
      <c r="T75">
        <v>23.158010857538681</v>
      </c>
      <c r="U75">
        <f t="shared" si="9"/>
        <v>3.0669891424613205</v>
      </c>
      <c r="W75">
        <f t="shared" si="10"/>
        <v>3.0669891424613205</v>
      </c>
    </row>
    <row r="76" spans="1:23" x14ac:dyDescent="0.25">
      <c r="A76">
        <v>15.28125</v>
      </c>
      <c r="B76">
        <f t="shared" si="15"/>
        <v>71</v>
      </c>
      <c r="C76">
        <f t="shared" si="11"/>
        <v>4.5533777306450203</v>
      </c>
      <c r="D76">
        <f t="shared" si="12"/>
        <v>21.015432749823113</v>
      </c>
      <c r="E76">
        <f t="shared" si="13"/>
        <v>32.880851808368952</v>
      </c>
      <c r="F76">
        <f t="shared" si="14"/>
        <v>-5.7341827498231126</v>
      </c>
      <c r="G76">
        <f t="shared" si="16"/>
        <v>-4.4624673522631939</v>
      </c>
      <c r="H76">
        <f t="shared" si="17"/>
        <v>16.55296539755992</v>
      </c>
      <c r="S76">
        <v>20.881250000000001</v>
      </c>
      <c r="T76">
        <v>24.244709631491624</v>
      </c>
      <c r="U76">
        <f t="shared" si="9"/>
        <v>-3.3634596314916223</v>
      </c>
      <c r="W76">
        <f t="shared" si="10"/>
        <v>3.3634596314916223</v>
      </c>
    </row>
    <row r="77" spans="1:23" x14ac:dyDescent="0.25">
      <c r="A77">
        <v>18.600000000000001</v>
      </c>
      <c r="B77">
        <f t="shared" si="15"/>
        <v>72</v>
      </c>
      <c r="C77">
        <f t="shared" si="11"/>
        <v>4.4531875472253457</v>
      </c>
      <c r="D77">
        <f t="shared" si="12"/>
        <v>20.915242566403435</v>
      </c>
      <c r="E77">
        <f t="shared" si="13"/>
        <v>5.3603481412863596</v>
      </c>
      <c r="F77">
        <f t="shared" si="14"/>
        <v>-2.315242566403434</v>
      </c>
      <c r="G77">
        <f t="shared" si="16"/>
        <v>-3.2803111851177933</v>
      </c>
      <c r="H77">
        <f t="shared" si="17"/>
        <v>17.634931381285643</v>
      </c>
      <c r="S77">
        <v>16.45</v>
      </c>
      <c r="T77">
        <v>19.353896461218614</v>
      </c>
      <c r="U77">
        <f t="shared" si="9"/>
        <v>-2.9038964612186149</v>
      </c>
      <c r="W77">
        <f t="shared" si="10"/>
        <v>2.9038964612186149</v>
      </c>
    </row>
    <row r="78" spans="1:23" x14ac:dyDescent="0.25">
      <c r="A78">
        <v>18.3</v>
      </c>
      <c r="B78">
        <f t="shared" si="15"/>
        <v>73</v>
      </c>
      <c r="C78">
        <f t="shared" si="11"/>
        <v>4.3516777882277697</v>
      </c>
      <c r="D78">
        <f t="shared" si="12"/>
        <v>20.813732807405863</v>
      </c>
      <c r="E78">
        <f t="shared" si="13"/>
        <v>6.3188526270285577</v>
      </c>
      <c r="F78">
        <f t="shared" si="14"/>
        <v>-2.5137328074058622</v>
      </c>
      <c r="G78">
        <f t="shared" si="16"/>
        <v>-0.84823858191187373</v>
      </c>
      <c r="H78">
        <f t="shared" si="17"/>
        <v>19.965494225493988</v>
      </c>
      <c r="S78">
        <v>14.893750000000001</v>
      </c>
      <c r="T78">
        <v>17.573412761913065</v>
      </c>
      <c r="U78">
        <f t="shared" si="9"/>
        <v>-2.6796627619130646</v>
      </c>
      <c r="W78">
        <f t="shared" si="10"/>
        <v>2.6796627619130646</v>
      </c>
    </row>
    <row r="79" spans="1:23" x14ac:dyDescent="0.25">
      <c r="A79">
        <v>21.3</v>
      </c>
      <c r="B79">
        <f t="shared" si="15"/>
        <v>74</v>
      </c>
      <c r="C79">
        <f t="shared" si="11"/>
        <v>4.2488785331846444</v>
      </c>
      <c r="D79">
        <f t="shared" si="12"/>
        <v>20.710933552362736</v>
      </c>
      <c r="E79">
        <f t="shared" si="13"/>
        <v>0.34699927973198658</v>
      </c>
      <c r="F79">
        <f t="shared" si="14"/>
        <v>0.5890664476372649</v>
      </c>
      <c r="G79">
        <f t="shared" si="16"/>
        <v>-2.2233920034533785</v>
      </c>
      <c r="H79">
        <f t="shared" si="17"/>
        <v>18.487541548909356</v>
      </c>
      <c r="S79">
        <v>18.118749999999999</v>
      </c>
      <c r="T79">
        <v>16.859187549674491</v>
      </c>
      <c r="U79">
        <f t="shared" si="9"/>
        <v>1.2595624503255074</v>
      </c>
      <c r="W79">
        <f t="shared" si="10"/>
        <v>1.2595624503255074</v>
      </c>
    </row>
    <row r="80" spans="1:23" x14ac:dyDescent="0.25">
      <c r="A80">
        <v>22.056249999999999</v>
      </c>
      <c r="B80">
        <f t="shared" si="15"/>
        <v>75</v>
      </c>
      <c r="C80">
        <f t="shared" si="11"/>
        <v>4.1448202437338271</v>
      </c>
      <c r="D80">
        <f t="shared" si="12"/>
        <v>20.60687526291192</v>
      </c>
      <c r="E80">
        <f t="shared" si="13"/>
        <v>2.100687128509136</v>
      </c>
      <c r="F80">
        <f t="shared" si="14"/>
        <v>1.4493747370880783</v>
      </c>
      <c r="G80">
        <f t="shared" si="16"/>
        <v>0.96660082695322669</v>
      </c>
      <c r="H80">
        <f t="shared" si="17"/>
        <v>21.573476089865146</v>
      </c>
      <c r="S80">
        <v>18.693750000000001</v>
      </c>
      <c r="T80">
        <v>19.403753688281245</v>
      </c>
      <c r="U80">
        <f t="shared" si="9"/>
        <v>-0.71000368828124394</v>
      </c>
      <c r="W80">
        <f t="shared" si="10"/>
        <v>0.71000368828124394</v>
      </c>
    </row>
    <row r="81" spans="1:23" x14ac:dyDescent="0.25">
      <c r="A81">
        <v>24.212499999999999</v>
      </c>
      <c r="B81">
        <f t="shared" si="15"/>
        <v>76</v>
      </c>
      <c r="C81">
        <f t="shared" si="11"/>
        <v>4.0395337545922425</v>
      </c>
      <c r="D81">
        <f t="shared" si="12"/>
        <v>20.501588773770333</v>
      </c>
      <c r="E81">
        <f t="shared" si="13"/>
        <v>13.77086212895736</v>
      </c>
      <c r="F81">
        <f t="shared" si="14"/>
        <v>3.7109112262296655</v>
      </c>
      <c r="G81">
        <f t="shared" si="16"/>
        <v>0.67087067949949986</v>
      </c>
      <c r="H81">
        <f t="shared" si="17"/>
        <v>21.172459453269834</v>
      </c>
      <c r="S81">
        <v>19.143750000000001</v>
      </c>
      <c r="T81">
        <v>18.591212885934294</v>
      </c>
      <c r="U81">
        <f t="shared" si="9"/>
        <v>0.55253711406570716</v>
      </c>
      <c r="W81">
        <f t="shared" si="10"/>
        <v>0.55253711406570716</v>
      </c>
    </row>
    <row r="82" spans="1:23" x14ac:dyDescent="0.25">
      <c r="A82">
        <v>26.225000000000001</v>
      </c>
      <c r="B82">
        <f t="shared" si="15"/>
        <v>77</v>
      </c>
      <c r="C82">
        <f t="shared" si="11"/>
        <v>3.9330502644188954</v>
      </c>
      <c r="D82">
        <f t="shared" si="12"/>
        <v>20.395105283596987</v>
      </c>
      <c r="E82">
        <f t="shared" si="13"/>
        <v>33.987672404343783</v>
      </c>
      <c r="F82">
        <f t="shared" si="14"/>
        <v>5.8298947164030146</v>
      </c>
      <c r="G82">
        <f t="shared" si="16"/>
        <v>2.7629055739416928</v>
      </c>
      <c r="H82">
        <f t="shared" si="17"/>
        <v>23.158010857538681</v>
      </c>
      <c r="S82">
        <v>19.25</v>
      </c>
      <c r="T82">
        <v>19.220946316973034</v>
      </c>
      <c r="U82">
        <f t="shared" si="9"/>
        <v>2.9053683026965871E-2</v>
      </c>
      <c r="W82">
        <f t="shared" si="10"/>
        <v>2.9053683026965871E-2</v>
      </c>
    </row>
    <row r="83" spans="1:23" x14ac:dyDescent="0.25">
      <c r="A83">
        <v>20.881250000000001</v>
      </c>
      <c r="B83">
        <f t="shared" si="15"/>
        <v>78</v>
      </c>
      <c r="C83">
        <f t="shared" si="11"/>
        <v>3.8254013265700229</v>
      </c>
      <c r="D83">
        <f t="shared" si="12"/>
        <v>20.287456345748115</v>
      </c>
      <c r="E83">
        <f t="shared" si="13"/>
        <v>0.35259090382980862</v>
      </c>
      <c r="F83">
        <f t="shared" si="14"/>
        <v>0.59379365425188624</v>
      </c>
      <c r="G83">
        <f t="shared" si="16"/>
        <v>3.9572532857435072</v>
      </c>
      <c r="H83">
        <f t="shared" si="17"/>
        <v>24.244709631491624</v>
      </c>
      <c r="S83">
        <v>21.46875</v>
      </c>
      <c r="T83">
        <v>19.21229836856411</v>
      </c>
      <c r="U83">
        <f t="shared" si="9"/>
        <v>2.2564516314358904</v>
      </c>
      <c r="W83">
        <f t="shared" si="10"/>
        <v>2.2564516314358904</v>
      </c>
    </row>
    <row r="84" spans="1:23" x14ac:dyDescent="0.25">
      <c r="A84">
        <v>16.45</v>
      </c>
      <c r="B84">
        <f t="shared" si="15"/>
        <v>79</v>
      </c>
      <c r="C84">
        <f t="shared" si="11"/>
        <v>3.7166188397491675</v>
      </c>
      <c r="D84">
        <f t="shared" si="12"/>
        <v>20.178673858927258</v>
      </c>
      <c r="E84">
        <f t="shared" si="13"/>
        <v>13.903008746247496</v>
      </c>
      <c r="F84">
        <f t="shared" si="14"/>
        <v>-3.7286738589272588</v>
      </c>
      <c r="G84">
        <f t="shared" si="16"/>
        <v>-0.82477739770864555</v>
      </c>
      <c r="H84">
        <f t="shared" si="17"/>
        <v>19.353896461218614</v>
      </c>
      <c r="S84">
        <v>23.53125</v>
      </c>
      <c r="T84">
        <v>21.083797262364147</v>
      </c>
      <c r="U84">
        <f t="shared" si="9"/>
        <v>2.447452737635853</v>
      </c>
      <c r="W84">
        <f t="shared" si="10"/>
        <v>2.447452737635853</v>
      </c>
    </row>
    <row r="85" spans="1:23" x14ac:dyDescent="0.25">
      <c r="A85">
        <v>14.893750000000001</v>
      </c>
      <c r="B85">
        <f t="shared" si="15"/>
        <v>80</v>
      </c>
      <c r="C85">
        <f t="shared" si="11"/>
        <v>3.6067350385548895</v>
      </c>
      <c r="D85">
        <f t="shared" si="12"/>
        <v>20.068790057732983</v>
      </c>
      <c r="E85">
        <f t="shared" si="13"/>
        <v>26.781039599140986</v>
      </c>
      <c r="F85">
        <f t="shared" si="14"/>
        <v>-5.175040057732982</v>
      </c>
      <c r="G85">
        <f t="shared" si="16"/>
        <v>-2.4953772958199165</v>
      </c>
      <c r="H85">
        <f t="shared" si="17"/>
        <v>17.573412761913065</v>
      </c>
      <c r="S85">
        <v>18.856249999999999</v>
      </c>
      <c r="T85">
        <v>22.095051926157545</v>
      </c>
      <c r="U85">
        <f t="shared" si="9"/>
        <v>-3.2388019261575458</v>
      </c>
      <c r="W85">
        <f t="shared" si="10"/>
        <v>3.2388019261575458</v>
      </c>
    </row>
    <row r="86" spans="1:23" x14ac:dyDescent="0.25">
      <c r="A86">
        <v>18.118749999999999</v>
      </c>
      <c r="B86">
        <f t="shared" si="15"/>
        <v>81</v>
      </c>
      <c r="C86">
        <f t="shared" si="11"/>
        <v>3.4957824839289691</v>
      </c>
      <c r="D86">
        <f t="shared" si="12"/>
        <v>19.957837503107061</v>
      </c>
      <c r="E86">
        <f t="shared" si="13"/>
        <v>3.3822428440845709</v>
      </c>
      <c r="F86">
        <f t="shared" si="14"/>
        <v>-1.8390875031070628</v>
      </c>
      <c r="G86">
        <f t="shared" si="16"/>
        <v>-3.0986499534325702</v>
      </c>
      <c r="H86">
        <f t="shared" si="17"/>
        <v>16.859187549674491</v>
      </c>
      <c r="S86">
        <v>13.00625</v>
      </c>
      <c r="T86">
        <v>17.760833865470143</v>
      </c>
      <c r="U86">
        <f t="shared" si="9"/>
        <v>-4.7545838654701438</v>
      </c>
      <c r="W86">
        <f t="shared" si="10"/>
        <v>4.7545838654701438</v>
      </c>
    </row>
    <row r="87" spans="1:23" x14ac:dyDescent="0.25">
      <c r="A87">
        <v>18.693750000000001</v>
      </c>
      <c r="B87">
        <f t="shared" si="15"/>
        <v>82</v>
      </c>
      <c r="C87">
        <f t="shared" si="11"/>
        <v>3.3837940535078976</v>
      </c>
      <c r="D87">
        <f t="shared" si="12"/>
        <v>19.84584907268599</v>
      </c>
      <c r="E87">
        <f t="shared" si="13"/>
        <v>1.3273322732839148</v>
      </c>
      <c r="F87">
        <f t="shared" si="14"/>
        <v>-1.1520990726859885</v>
      </c>
      <c r="G87">
        <f t="shared" si="16"/>
        <v>-0.44209538440474472</v>
      </c>
      <c r="H87">
        <f t="shared" si="17"/>
        <v>19.403753688281245</v>
      </c>
      <c r="S87">
        <v>12.65</v>
      </c>
      <c r="T87">
        <v>14.5695096601599</v>
      </c>
      <c r="U87">
        <f t="shared" si="9"/>
        <v>-1.9195096601598998</v>
      </c>
      <c r="W87">
        <f t="shared" si="10"/>
        <v>1.9195096601598998</v>
      </c>
    </row>
    <row r="88" spans="1:23" x14ac:dyDescent="0.25">
      <c r="A88">
        <v>19.143750000000001</v>
      </c>
      <c r="B88">
        <f t="shared" si="15"/>
        <v>83</v>
      </c>
      <c r="C88">
        <f t="shared" si="11"/>
        <v>3.2708029318805134</v>
      </c>
      <c r="D88">
        <f t="shared" si="12"/>
        <v>19.732857951058605</v>
      </c>
      <c r="E88">
        <f t="shared" si="13"/>
        <v>0.34704817800046728</v>
      </c>
      <c r="F88">
        <f t="shared" si="14"/>
        <v>-0.58910795105860458</v>
      </c>
      <c r="G88">
        <f t="shared" si="16"/>
        <v>-1.1416450651243117</v>
      </c>
      <c r="H88">
        <f t="shared" si="17"/>
        <v>18.591212885934294</v>
      </c>
      <c r="S88">
        <v>14.025</v>
      </c>
      <c r="T88">
        <v>15.421440335985526</v>
      </c>
      <c r="U88">
        <f t="shared" si="9"/>
        <v>-1.3964403359855257</v>
      </c>
      <c r="W88">
        <f t="shared" si="10"/>
        <v>1.3964403359855257</v>
      </c>
    </row>
    <row r="89" spans="1:23" x14ac:dyDescent="0.25">
      <c r="A89">
        <v>19.25</v>
      </c>
      <c r="B89">
        <f t="shared" si="15"/>
        <v>84</v>
      </c>
      <c r="C89">
        <f t="shared" si="11"/>
        <v>3.1568426007547057</v>
      </c>
      <c r="D89">
        <f t="shared" si="12"/>
        <v>19.618897619932795</v>
      </c>
      <c r="E89">
        <f t="shared" si="13"/>
        <v>0.13608545399208113</v>
      </c>
      <c r="F89">
        <f t="shared" si="14"/>
        <v>-0.36889761993279535</v>
      </c>
      <c r="G89">
        <f t="shared" si="16"/>
        <v>-0.39795130295976</v>
      </c>
      <c r="H89">
        <f t="shared" si="17"/>
        <v>19.220946316973034</v>
      </c>
      <c r="S89">
        <v>17.125</v>
      </c>
      <c r="T89">
        <v>15.805318236154104</v>
      </c>
      <c r="U89">
        <f t="shared" si="9"/>
        <v>1.319681763845896</v>
      </c>
      <c r="W89">
        <f t="shared" si="10"/>
        <v>1.319681763845896</v>
      </c>
    </row>
    <row r="90" spans="1:23" x14ac:dyDescent="0.25">
      <c r="A90">
        <v>21.46875</v>
      </c>
      <c r="B90">
        <f t="shared" si="15"/>
        <v>85</v>
      </c>
      <c r="C90">
        <f t="shared" si="11"/>
        <v>3.0419468290360494</v>
      </c>
      <c r="D90">
        <f t="shared" si="12"/>
        <v>19.504001848214141</v>
      </c>
      <c r="E90">
        <f t="shared" si="13"/>
        <v>3.8602352999459475</v>
      </c>
      <c r="F90">
        <f t="shared" si="14"/>
        <v>1.9647481517858587</v>
      </c>
      <c r="G90">
        <f t="shared" si="16"/>
        <v>-0.29170347965003296</v>
      </c>
      <c r="H90">
        <f t="shared" si="17"/>
        <v>19.21229836856411</v>
      </c>
      <c r="S90">
        <v>18.15625</v>
      </c>
      <c r="T90">
        <v>17.89680201784876</v>
      </c>
      <c r="U90">
        <f t="shared" si="9"/>
        <v>0.2594479821512401</v>
      </c>
      <c r="W90">
        <f t="shared" si="10"/>
        <v>0.2594479821512401</v>
      </c>
    </row>
    <row r="91" spans="1:23" x14ac:dyDescent="0.25">
      <c r="A91">
        <v>23.53125</v>
      </c>
      <c r="B91">
        <f t="shared" si="15"/>
        <v>86</v>
      </c>
      <c r="C91">
        <f t="shared" si="11"/>
        <v>2.9261496628213619</v>
      </c>
      <c r="D91">
        <f t="shared" si="12"/>
        <v>19.388204681999454</v>
      </c>
      <c r="E91">
        <f t="shared" si="13"/>
        <v>17.164824507006244</v>
      </c>
      <c r="F91">
        <f t="shared" si="14"/>
        <v>4.1430453180005458</v>
      </c>
      <c r="G91">
        <f t="shared" si="16"/>
        <v>1.6955925803646934</v>
      </c>
      <c r="H91">
        <f t="shared" si="17"/>
        <v>21.083797262364147</v>
      </c>
      <c r="S91">
        <v>15.06875</v>
      </c>
      <c r="T91">
        <v>17.936417898737311</v>
      </c>
      <c r="U91">
        <f t="shared" si="9"/>
        <v>-2.8676678987373112</v>
      </c>
      <c r="W91">
        <f t="shared" si="10"/>
        <v>2.8676678987373112</v>
      </c>
    </row>
    <row r="92" spans="1:23" x14ac:dyDescent="0.25">
      <c r="A92">
        <v>18.856249999999999</v>
      </c>
      <c r="B92">
        <f t="shared" si="15"/>
        <v>87</v>
      </c>
      <c r="C92">
        <f t="shared" si="11"/>
        <v>2.8094854153100988</v>
      </c>
      <c r="D92">
        <f t="shared" si="12"/>
        <v>19.271540434488191</v>
      </c>
      <c r="E92">
        <f t="shared" si="13"/>
        <v>0.17246614497739113</v>
      </c>
      <c r="F92">
        <f t="shared" si="14"/>
        <v>-0.41529043448819181</v>
      </c>
      <c r="G92">
        <f t="shared" si="16"/>
        <v>2.8235114916693558</v>
      </c>
      <c r="H92">
        <f t="shared" si="17"/>
        <v>22.095051926157545</v>
      </c>
      <c r="S92">
        <v>14.8375</v>
      </c>
      <c r="T92">
        <v>15.404390278463056</v>
      </c>
      <c r="U92">
        <f t="shared" si="9"/>
        <v>-0.56689027846305606</v>
      </c>
      <c r="W92">
        <f t="shared" si="10"/>
        <v>0.56689027846305606</v>
      </c>
    </row>
    <row r="93" spans="1:23" x14ac:dyDescent="0.25">
      <c r="A93">
        <v>13.00625</v>
      </c>
      <c r="B93">
        <f t="shared" si="15"/>
        <v>88</v>
      </c>
      <c r="C93">
        <f t="shared" si="11"/>
        <v>2.6919886566366165</v>
      </c>
      <c r="D93">
        <f t="shared" si="12"/>
        <v>19.154043675814709</v>
      </c>
      <c r="E93">
        <f t="shared" si="13"/>
        <v>37.795367080387337</v>
      </c>
      <c r="F93">
        <f t="shared" si="14"/>
        <v>-6.1477936758147091</v>
      </c>
      <c r="G93">
        <f t="shared" si="16"/>
        <v>-1.3932098103445643</v>
      </c>
      <c r="H93">
        <f t="shared" si="17"/>
        <v>17.760833865470143</v>
      </c>
      <c r="S93">
        <v>17.637499999999999</v>
      </c>
      <c r="T93">
        <v>16.308934235118638</v>
      </c>
      <c r="U93">
        <f t="shared" si="9"/>
        <v>1.3285657648813611</v>
      </c>
      <c r="W93">
        <f t="shared" si="10"/>
        <v>1.3285657648813611</v>
      </c>
    </row>
    <row r="94" spans="1:23" x14ac:dyDescent="0.25">
      <c r="A94">
        <v>12.65</v>
      </c>
      <c r="B94">
        <f t="shared" si="15"/>
        <v>89</v>
      </c>
      <c r="C94">
        <f t="shared" si="11"/>
        <v>2.5736942036263009</v>
      </c>
      <c r="D94">
        <f t="shared" si="12"/>
        <v>19.035749222804391</v>
      </c>
      <c r="E94">
        <f t="shared" si="13"/>
        <v>40.777793136546876</v>
      </c>
      <c r="F94">
        <f t="shared" si="14"/>
        <v>-6.3857492228043906</v>
      </c>
      <c r="G94">
        <f t="shared" si="16"/>
        <v>-4.4662395626444908</v>
      </c>
      <c r="H94">
        <f t="shared" si="17"/>
        <v>14.5695096601599</v>
      </c>
      <c r="S94">
        <v>19.331250000000001</v>
      </c>
      <c r="T94">
        <v>18.261829271704098</v>
      </c>
      <c r="U94">
        <f t="shared" si="9"/>
        <v>1.0694207282959027</v>
      </c>
      <c r="W94">
        <f t="shared" si="10"/>
        <v>1.0694207282959027</v>
      </c>
    </row>
    <row r="95" spans="1:23" x14ac:dyDescent="0.25">
      <c r="A95">
        <v>14.025</v>
      </c>
      <c r="B95">
        <f t="shared" si="15"/>
        <v>90</v>
      </c>
      <c r="C95">
        <f t="shared" si="11"/>
        <v>2.454637109478579</v>
      </c>
      <c r="D95">
        <f t="shared" si="12"/>
        <v>18.91669212865667</v>
      </c>
      <c r="E95">
        <f t="shared" si="13"/>
        <v>23.928651881561624</v>
      </c>
      <c r="F95">
        <f t="shared" si="14"/>
        <v>-4.8916921286566701</v>
      </c>
      <c r="G95">
        <f t="shared" si="16"/>
        <v>-3.4952517926711448</v>
      </c>
      <c r="H95">
        <f t="shared" si="17"/>
        <v>15.421440335985526</v>
      </c>
      <c r="S95">
        <v>20.85</v>
      </c>
      <c r="T95">
        <v>18.723204937570106</v>
      </c>
      <c r="U95">
        <f t="shared" si="9"/>
        <v>2.1267950624298955</v>
      </c>
      <c r="W95">
        <f t="shared" si="10"/>
        <v>2.1267950624298955</v>
      </c>
    </row>
    <row r="96" spans="1:23" x14ac:dyDescent="0.25">
      <c r="A96">
        <v>17.125</v>
      </c>
      <c r="B96">
        <f t="shared" si="15"/>
        <v>91</v>
      </c>
      <c r="C96">
        <f t="shared" si="11"/>
        <v>2.3348526533799125</v>
      </c>
      <c r="D96">
        <f t="shared" si="12"/>
        <v>18.796907672558003</v>
      </c>
      <c r="E96">
        <f t="shared" si="13"/>
        <v>2.7952752655583191</v>
      </c>
      <c r="F96">
        <f t="shared" si="14"/>
        <v>-1.6719076725580031</v>
      </c>
      <c r="G96">
        <f t="shared" si="16"/>
        <v>-2.9915894364038982</v>
      </c>
      <c r="H96">
        <f t="shared" si="17"/>
        <v>15.805318236154104</v>
      </c>
      <c r="S96">
        <v>17.018750000000001</v>
      </c>
      <c r="T96">
        <v>19.833933324847514</v>
      </c>
      <c r="U96">
        <f t="shared" si="9"/>
        <v>-2.8151833248475135</v>
      </c>
      <c r="W96">
        <f t="shared" si="10"/>
        <v>2.8151833248475135</v>
      </c>
    </row>
    <row r="97" spans="1:23" x14ac:dyDescent="0.25">
      <c r="A97">
        <v>18.15625</v>
      </c>
      <c r="B97">
        <f t="shared" si="15"/>
        <v>92</v>
      </c>
      <c r="C97">
        <f t="shared" si="11"/>
        <v>2.2143763300498027</v>
      </c>
      <c r="D97">
        <f t="shared" si="12"/>
        <v>18.676431349227894</v>
      </c>
      <c r="E97">
        <f t="shared" si="13"/>
        <v>0.27058863608455191</v>
      </c>
      <c r="F97">
        <f t="shared" si="14"/>
        <v>-0.52018134922789372</v>
      </c>
      <c r="G97">
        <f t="shared" si="16"/>
        <v>-0.77962933137913282</v>
      </c>
      <c r="H97">
        <f t="shared" si="17"/>
        <v>17.89680201784876</v>
      </c>
      <c r="S97">
        <v>17.40625</v>
      </c>
      <c r="T97">
        <v>16.309730939864142</v>
      </c>
      <c r="U97">
        <f t="shared" si="9"/>
        <v>1.0965190601358579</v>
      </c>
      <c r="W97">
        <f t="shared" si="10"/>
        <v>1.0965190601358579</v>
      </c>
    </row>
    <row r="98" spans="1:23" x14ac:dyDescent="0.25">
      <c r="A98">
        <v>15.06875</v>
      </c>
      <c r="B98">
        <f t="shared" si="15"/>
        <v>93</v>
      </c>
      <c r="C98">
        <f t="shared" si="11"/>
        <v>2.093243839222942</v>
      </c>
      <c r="D98">
        <f t="shared" si="12"/>
        <v>18.555298858401034</v>
      </c>
      <c r="E98">
        <f t="shared" si="13"/>
        <v>12.156022942017557</v>
      </c>
      <c r="F98">
        <f t="shared" si="14"/>
        <v>-3.4865488584010347</v>
      </c>
      <c r="G98">
        <f t="shared" si="16"/>
        <v>-0.61888095966372281</v>
      </c>
      <c r="H98">
        <f t="shared" si="17"/>
        <v>17.936417898737311</v>
      </c>
      <c r="S98">
        <v>15.637499999999999</v>
      </c>
      <c r="T98">
        <v>18.047191824550072</v>
      </c>
      <c r="U98">
        <f t="shared" si="9"/>
        <v>-2.4096918245500731</v>
      </c>
      <c r="W98">
        <f t="shared" si="10"/>
        <v>2.4096918245500731</v>
      </c>
    </row>
    <row r="99" spans="1:23" x14ac:dyDescent="0.25">
      <c r="A99">
        <v>14.8375</v>
      </c>
      <c r="B99">
        <f t="shared" si="15"/>
        <v>94</v>
      </c>
      <c r="C99">
        <f t="shared" si="11"/>
        <v>1.9714910750706192</v>
      </c>
      <c r="D99">
        <f t="shared" si="12"/>
        <v>18.433546094248712</v>
      </c>
      <c r="E99">
        <f t="shared" si="13"/>
        <v>12.931547511961412</v>
      </c>
      <c r="F99">
        <f t="shared" si="14"/>
        <v>-3.5960460942487114</v>
      </c>
      <c r="G99">
        <f t="shared" si="16"/>
        <v>-3.0291558157856548</v>
      </c>
      <c r="H99">
        <f t="shared" si="17"/>
        <v>15.404390278463056</v>
      </c>
      <c r="S99">
        <v>16.743749999999999</v>
      </c>
      <c r="T99">
        <v>15.824487552832267</v>
      </c>
      <c r="U99">
        <f t="shared" si="9"/>
        <v>0.91926244716773198</v>
      </c>
      <c r="W99">
        <f t="shared" si="10"/>
        <v>0.91926244716773198</v>
      </c>
    </row>
    <row r="100" spans="1:23" x14ac:dyDescent="0.25">
      <c r="A100">
        <v>17.637499999999999</v>
      </c>
      <c r="B100">
        <f t="shared" si="15"/>
        <v>95</v>
      </c>
      <c r="C100">
        <f t="shared" si="11"/>
        <v>1.8491541155644886</v>
      </c>
      <c r="D100">
        <f t="shared" si="12"/>
        <v>18.31120913474258</v>
      </c>
      <c r="E100">
        <f t="shared" si="13"/>
        <v>0.45388399823559622</v>
      </c>
      <c r="F100">
        <f t="shared" si="14"/>
        <v>-0.67370913474258032</v>
      </c>
      <c r="G100">
        <f t="shared" si="16"/>
        <v>-2.0022748996239428</v>
      </c>
      <c r="H100">
        <f t="shared" si="17"/>
        <v>16.308934235118638</v>
      </c>
      <c r="S100">
        <v>17.21875</v>
      </c>
      <c r="T100">
        <v>17.343543477019786</v>
      </c>
      <c r="U100">
        <f t="shared" si="9"/>
        <v>-0.12479347701978583</v>
      </c>
      <c r="W100">
        <f t="shared" si="10"/>
        <v>0.12479347701978583</v>
      </c>
    </row>
    <row r="101" spans="1:23" x14ac:dyDescent="0.25">
      <c r="A101">
        <v>19.331250000000001</v>
      </c>
      <c r="B101">
        <f t="shared" si="15"/>
        <v>96</v>
      </c>
      <c r="C101">
        <f t="shared" si="11"/>
        <v>1.7262692117859046</v>
      </c>
      <c r="D101">
        <f t="shared" si="12"/>
        <v>18.188324230963996</v>
      </c>
      <c r="E101">
        <f t="shared" si="13"/>
        <v>1.3062793135265427</v>
      </c>
      <c r="F101">
        <f t="shared" si="14"/>
        <v>1.1429257690360046</v>
      </c>
      <c r="G101">
        <f t="shared" si="16"/>
        <v>7.350504074010189E-2</v>
      </c>
      <c r="H101">
        <f t="shared" si="17"/>
        <v>18.261829271704098</v>
      </c>
      <c r="S101">
        <v>17.393750000000001</v>
      </c>
      <c r="T101">
        <v>17.091071224180585</v>
      </c>
      <c r="U101">
        <f t="shared" si="9"/>
        <v>0.30267877581941605</v>
      </c>
      <c r="W101">
        <f t="shared" si="10"/>
        <v>0.30267877581941605</v>
      </c>
    </row>
    <row r="102" spans="1:23" x14ac:dyDescent="0.25">
      <c r="A102">
        <v>20.85</v>
      </c>
      <c r="B102">
        <f t="shared" si="15"/>
        <v>97</v>
      </c>
      <c r="C102">
        <f t="shared" si="11"/>
        <v>1.6028727771839268</v>
      </c>
      <c r="D102">
        <f t="shared" si="12"/>
        <v>18.064927796362017</v>
      </c>
      <c r="E102">
        <f t="shared" si="13"/>
        <v>7.7566271794769373</v>
      </c>
      <c r="F102">
        <f t="shared" si="14"/>
        <v>2.7850722036379842</v>
      </c>
      <c r="G102">
        <f t="shared" si="16"/>
        <v>0.65827714120809033</v>
      </c>
      <c r="H102">
        <f t="shared" si="17"/>
        <v>18.723204937570106</v>
      </c>
      <c r="S102">
        <v>19.90626</v>
      </c>
      <c r="T102">
        <v>17.207039317510937</v>
      </c>
      <c r="U102">
        <f t="shared" si="9"/>
        <v>2.699220682489063</v>
      </c>
      <c r="W102">
        <f t="shared" si="10"/>
        <v>2.699220682489063</v>
      </c>
    </row>
    <row r="103" spans="1:23" x14ac:dyDescent="0.25">
      <c r="A103">
        <v>17.018750000000001</v>
      </c>
      <c r="B103">
        <f t="shared" si="15"/>
        <v>98</v>
      </c>
      <c r="C103">
        <f t="shared" si="11"/>
        <v>1.4790013767852406</v>
      </c>
      <c r="D103">
        <f t="shared" si="12"/>
        <v>17.941056395963333</v>
      </c>
      <c r="E103">
        <f t="shared" si="13"/>
        <v>0.85064908803487094</v>
      </c>
      <c r="F103">
        <f t="shared" si="14"/>
        <v>-0.92230639596333219</v>
      </c>
      <c r="G103">
        <f t="shared" si="16"/>
        <v>1.8928769288841798</v>
      </c>
      <c r="H103">
        <f t="shared" si="17"/>
        <v>19.833933324847514</v>
      </c>
      <c r="S103">
        <v>20.425000000000001</v>
      </c>
      <c r="T103">
        <v>19.305881013698624</v>
      </c>
      <c r="U103">
        <f t="shared" si="9"/>
        <v>1.1191189863013769</v>
      </c>
      <c r="W103">
        <f t="shared" si="10"/>
        <v>1.1191189863013769</v>
      </c>
    </row>
    <row r="104" spans="1:23" x14ac:dyDescent="0.25">
      <c r="A104">
        <v>17.40625</v>
      </c>
      <c r="B104">
        <f t="shared" si="15"/>
        <v>99</v>
      </c>
      <c r="C104">
        <f t="shared" si="11"/>
        <v>1.3546917163591501</v>
      </c>
      <c r="D104">
        <f t="shared" si="12"/>
        <v>17.81674673553724</v>
      </c>
      <c r="E104">
        <f t="shared" si="13"/>
        <v>0.16850756988673091</v>
      </c>
      <c r="F104">
        <f t="shared" si="14"/>
        <v>-0.4104967355372402</v>
      </c>
      <c r="G104">
        <f t="shared" si="16"/>
        <v>-1.5070157956730983</v>
      </c>
      <c r="H104">
        <f t="shared" si="17"/>
        <v>16.309730939864142</v>
      </c>
      <c r="S104">
        <v>21.574999999999999</v>
      </c>
      <c r="T104">
        <v>18.923293137280979</v>
      </c>
      <c r="U104">
        <f t="shared" si="9"/>
        <v>2.6517068627190206</v>
      </c>
      <c r="W104">
        <f t="shared" si="10"/>
        <v>2.6517068627190206</v>
      </c>
    </row>
    <row r="105" spans="1:23" x14ac:dyDescent="0.25">
      <c r="A105">
        <v>15.637499999999999</v>
      </c>
      <c r="B105">
        <f t="shared" si="15"/>
        <v>100</v>
      </c>
      <c r="C105">
        <f t="shared" si="11"/>
        <v>1.2299806315408592</v>
      </c>
      <c r="D105">
        <f t="shared" si="12"/>
        <v>17.69203565071895</v>
      </c>
      <c r="E105">
        <f t="shared" si="13"/>
        <v>4.2211167400751402</v>
      </c>
      <c r="F105">
        <f t="shared" si="14"/>
        <v>-2.0545356507189503</v>
      </c>
      <c r="G105">
        <f t="shared" si="16"/>
        <v>0.35515617383112258</v>
      </c>
      <c r="H105">
        <f t="shared" si="17"/>
        <v>18.047191824550072</v>
      </c>
      <c r="S105">
        <v>22.15</v>
      </c>
      <c r="T105">
        <v>20.056020107998705</v>
      </c>
      <c r="U105">
        <f t="shared" si="9"/>
        <v>2.0939798920012933</v>
      </c>
      <c r="W105">
        <f t="shared" si="10"/>
        <v>2.0939798920012933</v>
      </c>
    </row>
    <row r="106" spans="1:23" x14ac:dyDescent="0.25">
      <c r="A106">
        <v>16.743749999999999</v>
      </c>
      <c r="B106">
        <f t="shared" si="15"/>
        <v>101</v>
      </c>
      <c r="C106">
        <f t="shared" si="11"/>
        <v>1.1049050769162885</v>
      </c>
      <c r="D106">
        <f t="shared" si="12"/>
        <v>17.56696009609438</v>
      </c>
      <c r="E106">
        <f t="shared" si="13"/>
        <v>0.67767486231172125</v>
      </c>
      <c r="F106">
        <f t="shared" si="14"/>
        <v>-0.82321009609438178</v>
      </c>
      <c r="G106">
        <f t="shared" si="16"/>
        <v>-1.7424725432621133</v>
      </c>
      <c r="H106">
        <f t="shared" si="17"/>
        <v>15.824487552832267</v>
      </c>
      <c r="S106">
        <v>22.493749999999999</v>
      </c>
      <c r="T106">
        <v>20.208207402146869</v>
      </c>
      <c r="U106">
        <f t="shared" si="9"/>
        <v>2.2855425978531301</v>
      </c>
      <c r="W106">
        <f t="shared" si="10"/>
        <v>2.2855425978531301</v>
      </c>
    </row>
    <row r="107" spans="1:23" x14ac:dyDescent="0.25">
      <c r="A107">
        <v>17.21875</v>
      </c>
      <c r="B107">
        <f t="shared" si="15"/>
        <v>102</v>
      </c>
      <c r="C107">
        <f t="shared" si="11"/>
        <v>0.97950211507162255</v>
      </c>
      <c r="D107">
        <f t="shared" si="12"/>
        <v>17.441557134249713</v>
      </c>
      <c r="E107">
        <f t="shared" si="13"/>
        <v>4.9643019072569676E-2</v>
      </c>
      <c r="F107">
        <f t="shared" si="14"/>
        <v>-0.2228071342497131</v>
      </c>
      <c r="G107">
        <f t="shared" si="16"/>
        <v>-9.8013657229927054E-2</v>
      </c>
      <c r="H107">
        <f t="shared" si="17"/>
        <v>17.343543477019786</v>
      </c>
      <c r="S107">
        <v>21.462499999999999</v>
      </c>
      <c r="T107">
        <v>20.441250558923699</v>
      </c>
      <c r="U107">
        <f t="shared" si="9"/>
        <v>1.0212494410763</v>
      </c>
      <c r="W107">
        <f t="shared" si="10"/>
        <v>1.0212494410763</v>
      </c>
    </row>
    <row r="108" spans="1:23" x14ac:dyDescent="0.25">
      <c r="A108">
        <v>17.393750000000001</v>
      </c>
      <c r="B108">
        <f t="shared" si="15"/>
        <v>103</v>
      </c>
      <c r="C108">
        <f t="shared" si="11"/>
        <v>0.85380890561087219</v>
      </c>
      <c r="D108">
        <f t="shared" si="12"/>
        <v>17.315863924788964</v>
      </c>
      <c r="E108">
        <f t="shared" si="13"/>
        <v>6.0662407117792897E-3</v>
      </c>
      <c r="F108">
        <f t="shared" si="14"/>
        <v>7.7886075211036854E-2</v>
      </c>
      <c r="G108">
        <f t="shared" si="16"/>
        <v>-0.2247927006083775</v>
      </c>
      <c r="H108">
        <f t="shared" si="17"/>
        <v>17.091071224180585</v>
      </c>
      <c r="S108">
        <v>18.59375</v>
      </c>
      <c r="T108">
        <v>19.500387940778783</v>
      </c>
      <c r="U108">
        <f t="shared" si="9"/>
        <v>-0.90663794077878279</v>
      </c>
      <c r="W108">
        <f t="shared" si="10"/>
        <v>0.90663794077878279</v>
      </c>
    </row>
    <row r="109" spans="1:23" x14ac:dyDescent="0.25">
      <c r="A109">
        <v>19.90626</v>
      </c>
      <c r="B109">
        <f t="shared" si="15"/>
        <v>104</v>
      </c>
      <c r="C109">
        <f t="shared" si="11"/>
        <v>0.72786269414468618</v>
      </c>
      <c r="D109">
        <f t="shared" si="12"/>
        <v>17.189917713322778</v>
      </c>
      <c r="E109">
        <f t="shared" si="13"/>
        <v>7.3785154183908368</v>
      </c>
      <c r="F109">
        <f t="shared" si="14"/>
        <v>2.7163422866772216</v>
      </c>
      <c r="G109">
        <f t="shared" si="16"/>
        <v>1.7121604188157613E-2</v>
      </c>
      <c r="H109">
        <f t="shared" si="17"/>
        <v>17.207039317510937</v>
      </c>
      <c r="S109">
        <v>21.337499999999999</v>
      </c>
      <c r="T109">
        <v>17.411101866761275</v>
      </c>
      <c r="U109">
        <f t="shared" si="9"/>
        <v>3.9263981332387239</v>
      </c>
      <c r="W109">
        <f t="shared" si="10"/>
        <v>3.9263981332387239</v>
      </c>
    </row>
    <row r="110" spans="1:23" x14ac:dyDescent="0.25">
      <c r="A110">
        <v>20.425000000000001</v>
      </c>
      <c r="B110">
        <f t="shared" si="15"/>
        <v>105</v>
      </c>
      <c r="C110">
        <f t="shared" si="11"/>
        <v>0.60170080125365955</v>
      </c>
      <c r="D110">
        <f t="shared" si="12"/>
        <v>17.063755820431751</v>
      </c>
      <c r="E110">
        <f t="shared" si="13"/>
        <v>11.297962434681434</v>
      </c>
      <c r="F110">
        <f t="shared" si="14"/>
        <v>3.3612441795682493</v>
      </c>
      <c r="G110">
        <f t="shared" si="16"/>
        <v>2.2421251932668733</v>
      </c>
      <c r="H110">
        <f t="shared" si="17"/>
        <v>19.305881013698624</v>
      </c>
      <c r="S110">
        <v>17.318750000000001</v>
      </c>
      <c r="T110">
        <v>20.461796522869555</v>
      </c>
      <c r="U110">
        <f t="shared" si="9"/>
        <v>-3.1430465228695539</v>
      </c>
      <c r="W110">
        <f t="shared" si="10"/>
        <v>3.1430465228695539</v>
      </c>
    </row>
    <row r="111" spans="1:23" x14ac:dyDescent="0.25">
      <c r="A111">
        <v>21.574999999999999</v>
      </c>
      <c r="B111">
        <f t="shared" si="15"/>
        <v>106</v>
      </c>
      <c r="C111">
        <f t="shared" si="11"/>
        <v>0.47536061142945685</v>
      </c>
      <c r="D111">
        <f t="shared" si="12"/>
        <v>16.93741563060755</v>
      </c>
      <c r="E111">
        <f t="shared" si="13"/>
        <v>21.507188783233165</v>
      </c>
      <c r="F111">
        <f t="shared" si="14"/>
        <v>4.6375843693924494</v>
      </c>
      <c r="G111">
        <f t="shared" si="16"/>
        <v>1.9858775066734276</v>
      </c>
      <c r="H111">
        <f t="shared" si="17"/>
        <v>18.923293137280979</v>
      </c>
      <c r="S111">
        <v>15.05</v>
      </c>
      <c r="T111">
        <v>15.719022958403173</v>
      </c>
      <c r="U111">
        <f t="shared" si="9"/>
        <v>-0.66902295840317194</v>
      </c>
      <c r="W111">
        <f t="shared" si="10"/>
        <v>0.66902295840317194</v>
      </c>
    </row>
    <row r="112" spans="1:23" x14ac:dyDescent="0.25">
      <c r="A112">
        <v>22.15</v>
      </c>
      <c r="B112">
        <f t="shared" si="15"/>
        <v>107</v>
      </c>
      <c r="C112">
        <f t="shared" si="11"/>
        <v>0.34887956199696424</v>
      </c>
      <c r="D112">
        <f t="shared" si="12"/>
        <v>16.810934581175054</v>
      </c>
      <c r="E112">
        <f t="shared" si="13"/>
        <v>28.505619546492376</v>
      </c>
      <c r="F112">
        <f t="shared" si="14"/>
        <v>5.3390654188249442</v>
      </c>
      <c r="G112">
        <f t="shared" si="16"/>
        <v>3.2450855268236523</v>
      </c>
      <c r="H112">
        <f t="shared" si="17"/>
        <v>20.056020107998705</v>
      </c>
      <c r="S112">
        <v>15.225</v>
      </c>
      <c r="T112">
        <v>15.446583457318328</v>
      </c>
      <c r="U112">
        <f t="shared" si="9"/>
        <v>-0.22158345731832796</v>
      </c>
      <c r="W112">
        <f t="shared" si="10"/>
        <v>0.22158345731832796</v>
      </c>
    </row>
    <row r="113" spans="1:23" x14ac:dyDescent="0.25">
      <c r="A113">
        <v>22.493749999999999</v>
      </c>
      <c r="B113">
        <f t="shared" si="15"/>
        <v>108</v>
      </c>
      <c r="C113">
        <f t="shared" si="11"/>
        <v>0.22229513202081352</v>
      </c>
      <c r="D113">
        <f t="shared" si="12"/>
        <v>16.684350151198906</v>
      </c>
      <c r="E113">
        <f t="shared" si="13"/>
        <v>33.749126603250154</v>
      </c>
      <c r="F113">
        <f t="shared" si="14"/>
        <v>5.8093998488010925</v>
      </c>
      <c r="G113">
        <f t="shared" si="16"/>
        <v>3.5238572509479607</v>
      </c>
      <c r="H113">
        <f t="shared" si="17"/>
        <v>20.208207402146869</v>
      </c>
      <c r="S113">
        <v>14.06875</v>
      </c>
      <c r="T113">
        <v>15.693872784587841</v>
      </c>
      <c r="U113">
        <f t="shared" si="9"/>
        <v>-1.6251227845878411</v>
      </c>
      <c r="W113">
        <f t="shared" si="10"/>
        <v>1.6251227845878411</v>
      </c>
    </row>
    <row r="114" spans="1:23" x14ac:dyDescent="0.25">
      <c r="A114">
        <v>21.462499999999999</v>
      </c>
      <c r="B114">
        <f t="shared" si="15"/>
        <v>109</v>
      </c>
      <c r="C114">
        <f t="shared" si="11"/>
        <v>9.5644831199525271E-2</v>
      </c>
      <c r="D114">
        <f t="shared" si="12"/>
        <v>16.557699850377617</v>
      </c>
      <c r="E114">
        <f t="shared" si="13"/>
        <v>24.057064507735738</v>
      </c>
      <c r="F114">
        <f t="shared" si="14"/>
        <v>4.9048001496223819</v>
      </c>
      <c r="G114">
        <f t="shared" si="16"/>
        <v>3.8835507085460823</v>
      </c>
      <c r="H114">
        <f t="shared" si="17"/>
        <v>20.441250558923699</v>
      </c>
      <c r="S114">
        <v>13.625</v>
      </c>
      <c r="T114">
        <v>14.28617880756682</v>
      </c>
      <c r="U114">
        <f t="shared" si="9"/>
        <v>-0.66117880756682013</v>
      </c>
      <c r="W114">
        <f t="shared" si="10"/>
        <v>0.66117880756682013</v>
      </c>
    </row>
    <row r="115" spans="1:23" x14ac:dyDescent="0.25">
      <c r="A115">
        <v>18.59375</v>
      </c>
      <c r="B115">
        <f t="shared" si="15"/>
        <v>110</v>
      </c>
      <c r="C115">
        <f t="shared" si="11"/>
        <v>-3.1033811249434606E-2</v>
      </c>
      <c r="D115">
        <f t="shared" si="12"/>
        <v>16.431021207928659</v>
      </c>
      <c r="E115">
        <f t="shared" si="13"/>
        <v>4.6773958280543635</v>
      </c>
      <c r="F115">
        <f t="shared" si="14"/>
        <v>2.1627287920713414</v>
      </c>
      <c r="G115">
        <f t="shared" si="16"/>
        <v>3.0693667328501228</v>
      </c>
      <c r="H115">
        <f t="shared" si="17"/>
        <v>19.500387940778783</v>
      </c>
      <c r="S115">
        <v>15.025</v>
      </c>
      <c r="T115">
        <v>14.265751867364934</v>
      </c>
      <c r="U115">
        <f t="shared" si="9"/>
        <v>0.75924813263506685</v>
      </c>
      <c r="W115">
        <f t="shared" si="10"/>
        <v>0.75924813263506685</v>
      </c>
    </row>
    <row r="116" spans="1:23" x14ac:dyDescent="0.25">
      <c r="A116">
        <v>21.337499999999999</v>
      </c>
      <c r="B116">
        <f t="shared" si="15"/>
        <v>111</v>
      </c>
      <c r="C116">
        <f t="shared" si="11"/>
        <v>-0.15770325771035454</v>
      </c>
      <c r="D116">
        <f t="shared" si="12"/>
        <v>16.304351761467736</v>
      </c>
      <c r="E116">
        <f t="shared" si="13"/>
        <v>25.332581191040422</v>
      </c>
      <c r="F116">
        <f t="shared" si="14"/>
        <v>5.033148238532263</v>
      </c>
      <c r="G116">
        <f t="shared" si="16"/>
        <v>1.1067501052935396</v>
      </c>
      <c r="H116">
        <f t="shared" si="17"/>
        <v>17.411101866761275</v>
      </c>
      <c r="S116">
        <v>12.85</v>
      </c>
      <c r="T116">
        <v>15.383362275226563</v>
      </c>
      <c r="U116">
        <f t="shared" si="9"/>
        <v>-2.5333622752265637</v>
      </c>
      <c r="W116">
        <f t="shared" si="10"/>
        <v>2.5333622752265637</v>
      </c>
    </row>
    <row r="117" spans="1:23" x14ac:dyDescent="0.25">
      <c r="A117">
        <v>17.318750000000001</v>
      </c>
      <c r="B117">
        <f t="shared" si="15"/>
        <v>112</v>
      </c>
      <c r="C117">
        <f t="shared" si="11"/>
        <v>-0.2843259732925012</v>
      </c>
      <c r="D117">
        <f t="shared" si="12"/>
        <v>16.177729045885592</v>
      </c>
      <c r="E117">
        <f t="shared" si="13"/>
        <v>1.3019288177281583</v>
      </c>
      <c r="F117">
        <f t="shared" si="14"/>
        <v>1.1410209541144098</v>
      </c>
      <c r="G117">
        <f t="shared" si="16"/>
        <v>4.2840674769839646</v>
      </c>
      <c r="H117">
        <f t="shared" si="17"/>
        <v>20.461796522869555</v>
      </c>
      <c r="S117">
        <v>13.375</v>
      </c>
      <c r="T117">
        <v>12.987308433919713</v>
      </c>
      <c r="U117">
        <f t="shared" si="9"/>
        <v>0.38769156608028688</v>
      </c>
      <c r="W117">
        <f t="shared" si="10"/>
        <v>0.38769156608028688</v>
      </c>
    </row>
    <row r="118" spans="1:23" x14ac:dyDescent="0.25">
      <c r="A118">
        <v>15.05</v>
      </c>
      <c r="B118">
        <f t="shared" si="15"/>
        <v>113</v>
      </c>
      <c r="C118">
        <f t="shared" si="11"/>
        <v>-0.41086443695250363</v>
      </c>
      <c r="D118">
        <f t="shared" si="12"/>
        <v>16.051190582225587</v>
      </c>
      <c r="E118">
        <f t="shared" si="13"/>
        <v>1.0023825819372083</v>
      </c>
      <c r="F118">
        <f t="shared" si="14"/>
        <v>-1.0011905822255862</v>
      </c>
      <c r="G118">
        <f t="shared" si="16"/>
        <v>-0.33216762382241422</v>
      </c>
      <c r="H118">
        <f t="shared" si="17"/>
        <v>15.719022958403173</v>
      </c>
      <c r="S118">
        <v>16.106249999999999</v>
      </c>
      <c r="T118">
        <v>14.293086209134918</v>
      </c>
      <c r="U118">
        <f t="shared" si="9"/>
        <v>1.8131637908650813</v>
      </c>
      <c r="W118">
        <f t="shared" si="10"/>
        <v>1.8131637908650813</v>
      </c>
    </row>
    <row r="119" spans="1:23" x14ac:dyDescent="0.25">
      <c r="A119">
        <v>15.225</v>
      </c>
      <c r="B119">
        <f t="shared" si="15"/>
        <v>114</v>
      </c>
      <c r="C119">
        <f t="shared" si="11"/>
        <v>-0.53728115261265552</v>
      </c>
      <c r="D119">
        <f t="shared" si="12"/>
        <v>15.924773866565436</v>
      </c>
      <c r="E119">
        <f t="shared" si="13"/>
        <v>0.48968346432794163</v>
      </c>
      <c r="F119">
        <f t="shared" si="14"/>
        <v>-0.69977386656543672</v>
      </c>
      <c r="G119">
        <f t="shared" si="16"/>
        <v>-0.47819040924710887</v>
      </c>
      <c r="H119">
        <f t="shared" si="17"/>
        <v>15.446583457318328</v>
      </c>
      <c r="S119">
        <v>16.425000000000001</v>
      </c>
      <c r="T119">
        <v>16.078627050895079</v>
      </c>
      <c r="U119">
        <f t="shared" si="9"/>
        <v>0.34637294910492145</v>
      </c>
      <c r="W119">
        <f t="shared" si="10"/>
        <v>0.34637294910492145</v>
      </c>
    </row>
    <row r="120" spans="1:23" x14ac:dyDescent="0.25">
      <c r="A120">
        <v>14.06875</v>
      </c>
      <c r="B120">
        <f t="shared" si="15"/>
        <v>115</v>
      </c>
      <c r="C120">
        <f t="shared" si="11"/>
        <v>-0.66353866027181363</v>
      </c>
      <c r="D120">
        <f t="shared" si="12"/>
        <v>15.798516358906278</v>
      </c>
      <c r="E120">
        <f t="shared" si="13"/>
        <v>2.9920916564038849</v>
      </c>
      <c r="F120">
        <f t="shared" si="14"/>
        <v>-1.7297663589062786</v>
      </c>
      <c r="G120">
        <f t="shared" si="16"/>
        <v>-0.10464357431843796</v>
      </c>
      <c r="H120">
        <f t="shared" si="17"/>
        <v>15.693872784587841</v>
      </c>
      <c r="S120">
        <v>14.1</v>
      </c>
      <c r="T120">
        <v>15.508832364977398</v>
      </c>
      <c r="U120">
        <f t="shared" si="9"/>
        <v>-1.4088323649773979</v>
      </c>
      <c r="W120">
        <f t="shared" si="10"/>
        <v>1.4088323649773979</v>
      </c>
    </row>
    <row r="121" spans="1:23" x14ac:dyDescent="0.25">
      <c r="A121">
        <v>13.625</v>
      </c>
      <c r="B121">
        <f t="shared" si="15"/>
        <v>116</v>
      </c>
      <c r="C121">
        <f t="shared" si="11"/>
        <v>-0.78959954710559366</v>
      </c>
      <c r="D121">
        <f t="shared" si="12"/>
        <v>15.672455472072498</v>
      </c>
      <c r="E121">
        <f t="shared" si="13"/>
        <v>4.1920739101196149</v>
      </c>
      <c r="F121">
        <f t="shared" si="14"/>
        <v>-2.0474554720724978</v>
      </c>
      <c r="G121">
        <f t="shared" si="16"/>
        <v>-1.3862766645056781</v>
      </c>
      <c r="H121">
        <f t="shared" si="17"/>
        <v>14.28617880756682</v>
      </c>
      <c r="S121">
        <v>11.475</v>
      </c>
      <c r="T121">
        <v>13.797034134348356</v>
      </c>
      <c r="U121">
        <f t="shared" si="9"/>
        <v>-2.3220341343483568</v>
      </c>
      <c r="W121">
        <f t="shared" si="10"/>
        <v>2.3220341343483568</v>
      </c>
    </row>
    <row r="122" spans="1:23" x14ac:dyDescent="0.25">
      <c r="A122">
        <v>15.025</v>
      </c>
      <c r="B122">
        <f t="shared" si="15"/>
        <v>117</v>
      </c>
      <c r="C122">
        <f t="shared" si="11"/>
        <v>-0.91542645855261418</v>
      </c>
      <c r="D122">
        <f t="shared" si="12"/>
        <v>15.546628560625477</v>
      </c>
      <c r="E122">
        <f t="shared" si="13"/>
        <v>0.27209635526020637</v>
      </c>
      <c r="F122">
        <f t="shared" si="14"/>
        <v>-0.52162856062547647</v>
      </c>
      <c r="G122">
        <f t="shared" si="16"/>
        <v>-1.2808766932605435</v>
      </c>
      <c r="H122">
        <f t="shared" si="17"/>
        <v>14.265751867364934</v>
      </c>
      <c r="S122">
        <v>12.44375</v>
      </c>
      <c r="T122">
        <v>12.326825540612951</v>
      </c>
      <c r="U122">
        <f t="shared" si="9"/>
        <v>0.11692445938704843</v>
      </c>
      <c r="W122">
        <f t="shared" si="10"/>
        <v>0.11692445938704843</v>
      </c>
    </row>
    <row r="123" spans="1:23" x14ac:dyDescent="0.25">
      <c r="A123">
        <v>12.85</v>
      </c>
      <c r="B123">
        <f t="shared" si="15"/>
        <v>118</v>
      </c>
      <c r="C123">
        <f t="shared" si="11"/>
        <v>-1.0409821093834428</v>
      </c>
      <c r="D123">
        <f t="shared" si="12"/>
        <v>15.421072909794649</v>
      </c>
      <c r="E123">
        <f t="shared" si="13"/>
        <v>6.6104159074799256</v>
      </c>
      <c r="F123">
        <f t="shared" si="14"/>
        <v>-2.5710729097946494</v>
      </c>
      <c r="G123">
        <f t="shared" si="16"/>
        <v>-3.771063456808571E-2</v>
      </c>
      <c r="H123">
        <f t="shared" si="17"/>
        <v>15.383362275226563</v>
      </c>
      <c r="S123">
        <v>13.481249999999999</v>
      </c>
      <c r="T123">
        <v>13.609240960479077</v>
      </c>
      <c r="U123">
        <f t="shared" si="9"/>
        <v>-0.1279909604790781</v>
      </c>
      <c r="W123">
        <f t="shared" si="10"/>
        <v>0.1279909604790781</v>
      </c>
    </row>
    <row r="124" spans="1:23" x14ac:dyDescent="0.25">
      <c r="A124">
        <v>13.375</v>
      </c>
      <c r="B124">
        <f t="shared" si="15"/>
        <v>119</v>
      </c>
      <c r="C124">
        <f t="shared" si="11"/>
        <v>-1.1662292947490274</v>
      </c>
      <c r="D124">
        <f t="shared" si="12"/>
        <v>15.295825724429065</v>
      </c>
      <c r="E124">
        <f t="shared" si="13"/>
        <v>3.6895714636284422</v>
      </c>
      <c r="F124">
        <f t="shared" si="14"/>
        <v>-1.920825724429065</v>
      </c>
      <c r="G124">
        <f t="shared" si="16"/>
        <v>-2.3085172905093518</v>
      </c>
      <c r="H124">
        <f t="shared" si="17"/>
        <v>12.987308433919713</v>
      </c>
      <c r="S124">
        <v>10.125</v>
      </c>
      <c r="T124">
        <v>13.753723462238202</v>
      </c>
      <c r="U124">
        <f t="shared" si="9"/>
        <v>-3.6287234622382023</v>
      </c>
      <c r="W124">
        <f t="shared" si="10"/>
        <v>3.6287234622382023</v>
      </c>
    </row>
    <row r="125" spans="1:23" x14ac:dyDescent="0.25">
      <c r="A125">
        <v>16.106249999999999</v>
      </c>
      <c r="B125">
        <f t="shared" si="15"/>
        <v>120</v>
      </c>
      <c r="C125">
        <f t="shared" si="11"/>
        <v>-1.2911309012052881</v>
      </c>
      <c r="D125">
        <f t="shared" si="12"/>
        <v>15.170924117972802</v>
      </c>
      <c r="E125">
        <f t="shared" si="13"/>
        <v>0.87483450558995368</v>
      </c>
      <c r="F125">
        <f t="shared" si="14"/>
        <v>0.9353258820271968</v>
      </c>
      <c r="G125">
        <f t="shared" si="16"/>
        <v>-0.87783790883788448</v>
      </c>
      <c r="H125">
        <f t="shared" si="17"/>
        <v>14.293086209134918</v>
      </c>
      <c r="S125">
        <v>9.5562509999999996</v>
      </c>
      <c r="T125">
        <v>10.681676677263368</v>
      </c>
      <c r="U125">
        <f t="shared" si="9"/>
        <v>-1.1254256772633688</v>
      </c>
      <c r="W125">
        <f t="shared" si="10"/>
        <v>1.1254256772633688</v>
      </c>
    </row>
    <row r="126" spans="1:23" x14ac:dyDescent="0.25">
      <c r="A126">
        <v>16.425000000000001</v>
      </c>
      <c r="B126">
        <f t="shared" si="15"/>
        <v>121</v>
      </c>
      <c r="C126">
        <f t="shared" si="11"/>
        <v>-1.4156499177106383</v>
      </c>
      <c r="D126">
        <f t="shared" si="12"/>
        <v>15.046405101467453</v>
      </c>
      <c r="E126">
        <f t="shared" si="13"/>
        <v>1.9005238942599652</v>
      </c>
      <c r="F126">
        <f t="shared" si="14"/>
        <v>1.3785948985325476</v>
      </c>
      <c r="G126">
        <f t="shared" si="16"/>
        <v>1.0322219494276277</v>
      </c>
      <c r="H126">
        <f t="shared" si="17"/>
        <v>16.078627050895079</v>
      </c>
      <c r="S126">
        <v>9.8062509999999996</v>
      </c>
      <c r="T126">
        <v>11.388880643125498</v>
      </c>
      <c r="U126">
        <f t="shared" si="9"/>
        <v>-1.5826296431254985</v>
      </c>
      <c r="W126">
        <f t="shared" si="10"/>
        <v>1.5826296431254985</v>
      </c>
    </row>
    <row r="127" spans="1:23" x14ac:dyDescent="0.25">
      <c r="A127">
        <v>14.1</v>
      </c>
      <c r="B127">
        <f t="shared" si="15"/>
        <v>122</v>
      </c>
      <c r="C127">
        <f t="shared" si="11"/>
        <v>-1.5397494465931403</v>
      </c>
      <c r="D127">
        <f t="shared" si="12"/>
        <v>14.922305572584952</v>
      </c>
      <c r="E127">
        <f t="shared" si="13"/>
        <v>0.67618645470426575</v>
      </c>
      <c r="F127">
        <f t="shared" si="14"/>
        <v>-0.82230557258495196</v>
      </c>
      <c r="G127">
        <f t="shared" si="16"/>
        <v>0.58652679239244621</v>
      </c>
      <c r="H127">
        <f t="shared" si="17"/>
        <v>15.508832364977398</v>
      </c>
      <c r="S127">
        <v>9.7875019999999999</v>
      </c>
      <c r="T127">
        <v>11.253603093029133</v>
      </c>
      <c r="U127">
        <f t="shared" si="9"/>
        <v>-1.4661010930291329</v>
      </c>
      <c r="W127">
        <f t="shared" si="10"/>
        <v>1.4661010930291329</v>
      </c>
    </row>
    <row r="128" spans="1:23" x14ac:dyDescent="0.25">
      <c r="A128">
        <v>11.475</v>
      </c>
      <c r="B128">
        <f t="shared" si="15"/>
        <v>123</v>
      </c>
      <c r="C128">
        <f t="shared" si="11"/>
        <v>-1.6633927144841012</v>
      </c>
      <c r="D128">
        <f t="shared" si="12"/>
        <v>14.798662304693991</v>
      </c>
      <c r="E128">
        <f t="shared" si="13"/>
        <v>11.046731115643775</v>
      </c>
      <c r="F128">
        <f t="shared" si="14"/>
        <v>-3.3236623046939915</v>
      </c>
      <c r="G128">
        <f t="shared" si="16"/>
        <v>-1.0016281703456347</v>
      </c>
      <c r="H128">
        <f t="shared" si="17"/>
        <v>13.797034134348356</v>
      </c>
      <c r="S128">
        <v>12.6875</v>
      </c>
      <c r="T128">
        <v>11.035739307468544</v>
      </c>
      <c r="U128">
        <f t="shared" si="9"/>
        <v>1.6517606925314556</v>
      </c>
      <c r="W128">
        <f t="shared" si="10"/>
        <v>1.6517606925314556</v>
      </c>
    </row>
    <row r="129" spans="1:23" x14ac:dyDescent="0.25">
      <c r="A129">
        <v>12.44375</v>
      </c>
      <c r="B129">
        <f t="shared" si="15"/>
        <v>124</v>
      </c>
      <c r="C129">
        <f t="shared" si="11"/>
        <v>-1.7865430832148055</v>
      </c>
      <c r="D129">
        <f t="shared" si="12"/>
        <v>14.675511935963286</v>
      </c>
      <c r="E129">
        <f t="shared" si="13"/>
        <v>4.9807613388145944</v>
      </c>
      <c r="F129">
        <f t="shared" si="14"/>
        <v>-2.2317619359632861</v>
      </c>
      <c r="G129">
        <f t="shared" si="16"/>
        <v>-2.3486863953503336</v>
      </c>
      <c r="H129">
        <f t="shared" si="17"/>
        <v>12.326825540612951</v>
      </c>
      <c r="S129">
        <v>14.456250000000001</v>
      </c>
      <c r="T129">
        <v>13.494960815505262</v>
      </c>
      <c r="U129">
        <f t="shared" si="9"/>
        <v>0.96128918449473844</v>
      </c>
      <c r="W129">
        <f t="shared" si="10"/>
        <v>0.96128918449473844</v>
      </c>
    </row>
    <row r="130" spans="1:23" x14ac:dyDescent="0.25">
      <c r="A130">
        <v>13.481249999999999</v>
      </c>
      <c r="B130">
        <f t="shared" si="15"/>
        <v>125</v>
      </c>
      <c r="C130">
        <f t="shared" si="11"/>
        <v>-1.9091640606731968</v>
      </c>
      <c r="D130">
        <f t="shared" si="12"/>
        <v>14.552890958504895</v>
      </c>
      <c r="E130">
        <f t="shared" si="13"/>
        <v>1.148414343945291</v>
      </c>
      <c r="F130">
        <f t="shared" si="14"/>
        <v>-1.0716409585048954</v>
      </c>
      <c r="G130">
        <f t="shared" si="16"/>
        <v>-0.94364999802581651</v>
      </c>
      <c r="H130">
        <f t="shared" si="17"/>
        <v>13.609240960479077</v>
      </c>
      <c r="S130">
        <v>14.8375</v>
      </c>
      <c r="T130">
        <v>14.021439820068114</v>
      </c>
      <c r="U130">
        <f t="shared" si="9"/>
        <v>0.81606017993188651</v>
      </c>
      <c r="W130">
        <f t="shared" si="10"/>
        <v>0.81606017993188651</v>
      </c>
    </row>
    <row r="131" spans="1:23" x14ac:dyDescent="0.25">
      <c r="A131">
        <v>10.125</v>
      </c>
      <c r="B131">
        <f t="shared" si="15"/>
        <v>126</v>
      </c>
      <c r="C131">
        <f t="shared" si="11"/>
        <v>-2.0312193116172779</v>
      </c>
      <c r="D131">
        <f t="shared" si="12"/>
        <v>14.430835707560814</v>
      </c>
      <c r="E131">
        <f t="shared" si="13"/>
        <v>18.540221140505732</v>
      </c>
      <c r="F131">
        <f t="shared" si="14"/>
        <v>-4.3058357075608136</v>
      </c>
      <c r="G131">
        <f t="shared" si="16"/>
        <v>-0.67711224532261083</v>
      </c>
      <c r="H131">
        <f t="shared" si="17"/>
        <v>13.753723462238202</v>
      </c>
      <c r="S131">
        <v>14.987500000000001</v>
      </c>
      <c r="T131">
        <v>14.162771252476585</v>
      </c>
      <c r="U131">
        <f t="shared" ref="U131:U194" si="18">S131-T131</f>
        <v>0.82472874752341596</v>
      </c>
      <c r="W131">
        <f t="shared" ref="W131:W194" si="19">ABS(U131)</f>
        <v>0.82472874752341596</v>
      </c>
    </row>
    <row r="132" spans="1:23" x14ac:dyDescent="0.25">
      <c r="A132">
        <v>9.5562509999999996</v>
      </c>
      <c r="B132">
        <f t="shared" si="15"/>
        <v>127</v>
      </c>
      <c r="C132">
        <f t="shared" si="11"/>
        <v>-2.1526726684420208</v>
      </c>
      <c r="D132">
        <f t="shared" si="12"/>
        <v>14.309382350736071</v>
      </c>
      <c r="E132">
        <f t="shared" si="13"/>
        <v>22.592257637350109</v>
      </c>
      <c r="F132">
        <f t="shared" si="14"/>
        <v>-4.7531313507360711</v>
      </c>
      <c r="G132">
        <f t="shared" si="16"/>
        <v>-3.6277056734727013</v>
      </c>
      <c r="H132">
        <f t="shared" si="17"/>
        <v>10.681676677263368</v>
      </c>
      <c r="S132">
        <v>16.987500000000001</v>
      </c>
      <c r="T132">
        <v>14.38832333618878</v>
      </c>
      <c r="U132">
        <f t="shared" si="18"/>
        <v>2.599176663811221</v>
      </c>
      <c r="W132">
        <f t="shared" si="19"/>
        <v>2.599176663811221</v>
      </c>
    </row>
    <row r="133" spans="1:23" x14ac:dyDescent="0.25">
      <c r="A133">
        <v>9.8062509999999996</v>
      </c>
      <c r="B133">
        <f t="shared" si="15"/>
        <v>128</v>
      </c>
      <c r="C133">
        <f t="shared" si="11"/>
        <v>-2.2734881418966228</v>
      </c>
      <c r="D133">
        <f t="shared" si="12"/>
        <v>14.188566877281469</v>
      </c>
      <c r="E133">
        <f t="shared" si="13"/>
        <v>19.204692448273253</v>
      </c>
      <c r="F133">
        <f t="shared" si="14"/>
        <v>-4.382315877281469</v>
      </c>
      <c r="G133">
        <f t="shared" si="16"/>
        <v>-2.7996862341559701</v>
      </c>
      <c r="H133">
        <f t="shared" si="17"/>
        <v>11.388880643125498</v>
      </c>
      <c r="S133">
        <v>12.96875</v>
      </c>
      <c r="T133">
        <v>16.051845666374696</v>
      </c>
      <c r="U133">
        <f t="shared" si="18"/>
        <v>-3.083095666374696</v>
      </c>
      <c r="W133">
        <f t="shared" si="19"/>
        <v>3.083095666374696</v>
      </c>
    </row>
    <row r="134" spans="1:23" x14ac:dyDescent="0.25">
      <c r="A134">
        <v>9.7875019999999999</v>
      </c>
      <c r="B134">
        <f t="shared" si="15"/>
        <v>129</v>
      </c>
      <c r="C134">
        <f t="shared" si="11"/>
        <v>-2.3936299317488894</v>
      </c>
      <c r="D134">
        <f t="shared" si="12"/>
        <v>14.068425087429201</v>
      </c>
      <c r="E134">
        <f t="shared" si="13"/>
        <v>18.326302480484365</v>
      </c>
      <c r="F134">
        <f t="shared" si="14"/>
        <v>-4.2809230874292012</v>
      </c>
      <c r="G134">
        <f t="shared" si="16"/>
        <v>-2.8148219944000687</v>
      </c>
      <c r="H134">
        <f t="shared" si="17"/>
        <v>11.253603093029133</v>
      </c>
      <c r="S134">
        <v>12.543749999999999</v>
      </c>
      <c r="T134">
        <v>11.993136787916011</v>
      </c>
      <c r="U134">
        <f t="shared" si="18"/>
        <v>0.55061321208398795</v>
      </c>
      <c r="W134">
        <f t="shared" si="19"/>
        <v>0.55061321208398795</v>
      </c>
    </row>
    <row r="135" spans="1:23" x14ac:dyDescent="0.25">
      <c r="A135">
        <v>12.6875</v>
      </c>
      <c r="B135">
        <f t="shared" si="15"/>
        <v>130</v>
      </c>
      <c r="C135">
        <f t="shared" ref="C135:C198" si="20">C$2*COS(C$1*B135)+C$3*SIN(C$1*B135)</f>
        <v>-2.5130624373936126</v>
      </c>
      <c r="D135">
        <f t="shared" ref="D135:D198" si="21">$A$2+C135</f>
        <v>13.948992581784479</v>
      </c>
      <c r="E135">
        <f t="shared" ref="E135:E198" si="22">(A135-D135)^2</f>
        <v>1.59136353389727</v>
      </c>
      <c r="F135">
        <f t="shared" ref="F135:F198" si="23">A135-D135</f>
        <v>-1.2614925817844789</v>
      </c>
      <c r="G135">
        <f t="shared" si="16"/>
        <v>-2.9132532743159345</v>
      </c>
      <c r="H135">
        <f t="shared" si="17"/>
        <v>11.035739307468544</v>
      </c>
      <c r="S135">
        <v>12.512499999999999</v>
      </c>
      <c r="T135">
        <v>13.177728899933248</v>
      </c>
      <c r="U135">
        <f t="shared" si="18"/>
        <v>-0.66522889993324874</v>
      </c>
      <c r="W135">
        <f t="shared" si="19"/>
        <v>0.66522889993324874</v>
      </c>
    </row>
    <row r="136" spans="1:23" x14ac:dyDescent="0.25">
      <c r="A136">
        <v>14.456250000000001</v>
      </c>
      <c r="B136">
        <f t="shared" ref="B136:B199" si="24">B135+1</f>
        <v>131</v>
      </c>
      <c r="C136">
        <f t="shared" si="20"/>
        <v>-2.6317502684018113</v>
      </c>
      <c r="D136">
        <f t="shared" si="21"/>
        <v>13.83030475077628</v>
      </c>
      <c r="E136">
        <f t="shared" si="22"/>
        <v>0.3918074550257456</v>
      </c>
      <c r="F136">
        <f t="shared" si="23"/>
        <v>0.62594524922372052</v>
      </c>
      <c r="G136">
        <f t="shared" si="16"/>
        <v>-0.33534393527101769</v>
      </c>
      <c r="H136">
        <f t="shared" si="17"/>
        <v>13.494960815505262</v>
      </c>
      <c r="S136">
        <v>12.18125</v>
      </c>
      <c r="T136">
        <v>12.664159727541277</v>
      </c>
      <c r="U136">
        <f t="shared" si="18"/>
        <v>-0.48290972754127637</v>
      </c>
      <c r="W136">
        <f t="shared" si="19"/>
        <v>0.48290972754127637</v>
      </c>
    </row>
    <row r="137" spans="1:23" x14ac:dyDescent="0.25">
      <c r="A137">
        <v>14.8375</v>
      </c>
      <c r="B137">
        <f t="shared" si="24"/>
        <v>132</v>
      </c>
      <c r="C137">
        <f t="shared" si="20"/>
        <v>-2.7496582550076551</v>
      </c>
      <c r="D137">
        <f t="shared" si="21"/>
        <v>13.712396764170435</v>
      </c>
      <c r="E137">
        <f t="shared" si="22"/>
        <v>1.2658572912741577</v>
      </c>
      <c r="F137">
        <f t="shared" si="23"/>
        <v>1.125103235829565</v>
      </c>
      <c r="G137">
        <f t="shared" si="16"/>
        <v>0.30904305589767778</v>
      </c>
      <c r="H137">
        <f t="shared" si="17"/>
        <v>14.021439820068114</v>
      </c>
      <c r="S137">
        <v>12.4</v>
      </c>
      <c r="T137">
        <v>12.295737518634242</v>
      </c>
      <c r="U137">
        <f t="shared" si="18"/>
        <v>0.10426248136575822</v>
      </c>
      <c r="W137">
        <f t="shared" si="19"/>
        <v>0.10426248136575822</v>
      </c>
    </row>
    <row r="138" spans="1:23" x14ac:dyDescent="0.25">
      <c r="A138">
        <v>14.987500000000001</v>
      </c>
      <c r="B138">
        <f t="shared" si="24"/>
        <v>133</v>
      </c>
      <c r="C138">
        <f t="shared" si="20"/>
        <v>-2.8667514585300564</v>
      </c>
      <c r="D138">
        <f t="shared" si="21"/>
        <v>13.595303560648034</v>
      </c>
      <c r="E138">
        <f t="shared" si="22"/>
        <v>1.9382109257442939</v>
      </c>
      <c r="F138">
        <f t="shared" si="23"/>
        <v>1.3921964393519666</v>
      </c>
      <c r="G138">
        <f t="shared" ref="G138:G201" si="25">$J$3*F137+$J$4*F136+$J$5*F135</f>
        <v>0.56746769182855017</v>
      </c>
      <c r="H138">
        <f t="shared" ref="H138:H201" si="26">D138+G138</f>
        <v>14.162771252476585</v>
      </c>
      <c r="S138">
        <v>12.175000000000001</v>
      </c>
      <c r="T138">
        <v>12.547048540700697</v>
      </c>
      <c r="U138">
        <f t="shared" si="18"/>
        <v>-0.37204854070069615</v>
      </c>
      <c r="W138">
        <f t="shared" si="19"/>
        <v>0.37204854070069615</v>
      </c>
    </row>
    <row r="139" spans="1:23" x14ac:dyDescent="0.25">
      <c r="A139">
        <v>16.987500000000001</v>
      </c>
      <c r="B139">
        <f t="shared" si="24"/>
        <v>134</v>
      </c>
      <c r="C139">
        <f t="shared" si="20"/>
        <v>-2.9829951817257294</v>
      </c>
      <c r="D139">
        <f t="shared" si="21"/>
        <v>13.479059837452361</v>
      </c>
      <c r="E139">
        <f t="shared" si="22"/>
        <v>12.309152374177307</v>
      </c>
      <c r="F139">
        <f t="shared" si="23"/>
        <v>3.5084401625476396</v>
      </c>
      <c r="G139">
        <f t="shared" si="25"/>
        <v>0.90926349873641898</v>
      </c>
      <c r="H139">
        <f t="shared" si="26"/>
        <v>14.38832333618878</v>
      </c>
      <c r="S139">
        <v>10.53125</v>
      </c>
      <c r="T139">
        <v>12.202842702670001</v>
      </c>
      <c r="U139">
        <f t="shared" si="18"/>
        <v>-1.6715927026700008</v>
      </c>
      <c r="W139">
        <f t="shared" si="19"/>
        <v>1.6715927026700008</v>
      </c>
    </row>
    <row r="140" spans="1:23" x14ac:dyDescent="0.25">
      <c r="A140">
        <v>12.96875</v>
      </c>
      <c r="B140">
        <f t="shared" si="24"/>
        <v>135</v>
      </c>
      <c r="C140">
        <f t="shared" si="20"/>
        <v>-3.0983549790707503</v>
      </c>
      <c r="D140">
        <f t="shared" si="21"/>
        <v>13.363700040107341</v>
      </c>
      <c r="E140">
        <f t="shared" si="22"/>
        <v>0.15598553418079036</v>
      </c>
      <c r="F140">
        <f t="shared" si="23"/>
        <v>-0.39495004010734114</v>
      </c>
      <c r="G140">
        <f t="shared" si="25"/>
        <v>2.6881456262673558</v>
      </c>
      <c r="H140">
        <f t="shared" si="26"/>
        <v>16.051845666374696</v>
      </c>
      <c r="S140">
        <v>9.5500000000000007</v>
      </c>
      <c r="T140">
        <v>10.880576051790934</v>
      </c>
      <c r="U140">
        <f t="shared" si="18"/>
        <v>-1.3305760517909331</v>
      </c>
      <c r="W140">
        <f t="shared" si="19"/>
        <v>1.3305760517909331</v>
      </c>
    </row>
    <row r="141" spans="1:23" x14ac:dyDescent="0.25">
      <c r="A141">
        <v>12.543749999999999</v>
      </c>
      <c r="B141">
        <f t="shared" si="24"/>
        <v>136</v>
      </c>
      <c r="C141">
        <f t="shared" si="20"/>
        <v>-3.2127966669674981</v>
      </c>
      <c r="D141">
        <f t="shared" si="21"/>
        <v>13.249258352210592</v>
      </c>
      <c r="E141">
        <f t="shared" si="22"/>
        <v>0.49774203503890635</v>
      </c>
      <c r="F141">
        <f t="shared" si="23"/>
        <v>-0.70550835221059316</v>
      </c>
      <c r="G141">
        <f t="shared" si="25"/>
        <v>-1.2561215642945807</v>
      </c>
      <c r="H141">
        <f t="shared" si="26"/>
        <v>11.993136787916011</v>
      </c>
      <c r="S141">
        <v>8.9000020000000006</v>
      </c>
      <c r="T141">
        <v>10.509740770543289</v>
      </c>
      <c r="U141">
        <f t="shared" si="18"/>
        <v>-1.609738770543288</v>
      </c>
      <c r="W141">
        <f t="shared" si="19"/>
        <v>1.609738770543288</v>
      </c>
    </row>
    <row r="142" spans="1:23" x14ac:dyDescent="0.25">
      <c r="A142">
        <v>12.512499999999999</v>
      </c>
      <c r="B142">
        <f t="shared" si="24"/>
        <v>137</v>
      </c>
      <c r="C142">
        <f t="shared" si="20"/>
        <v>-3.326286333873989</v>
      </c>
      <c r="D142">
        <f t="shared" si="21"/>
        <v>13.135768685304102</v>
      </c>
      <c r="E142">
        <f t="shared" si="22"/>
        <v>0.38846385408070466</v>
      </c>
      <c r="F142">
        <f t="shared" si="23"/>
        <v>-0.62326868530410273</v>
      </c>
      <c r="G142">
        <f t="shared" si="25"/>
        <v>4.1960214629146231E-2</v>
      </c>
      <c r="H142">
        <f t="shared" si="26"/>
        <v>13.177728899933248</v>
      </c>
      <c r="S142">
        <v>9.3500010000000007</v>
      </c>
      <c r="T142">
        <v>10.000008116783603</v>
      </c>
      <c r="U142">
        <f t="shared" si="18"/>
        <v>-0.6500071167836019</v>
      </c>
      <c r="W142">
        <f t="shared" si="19"/>
        <v>0.6500071167836019</v>
      </c>
    </row>
    <row r="143" spans="1:23" x14ac:dyDescent="0.25">
      <c r="A143">
        <v>12.18125</v>
      </c>
      <c r="B143">
        <f t="shared" si="24"/>
        <v>138</v>
      </c>
      <c r="C143">
        <f t="shared" si="20"/>
        <v>-3.4387903503526145</v>
      </c>
      <c r="D143">
        <f t="shared" si="21"/>
        <v>13.023264668825476</v>
      </c>
      <c r="E143">
        <f t="shared" si="22"/>
        <v>0.70898870251727553</v>
      </c>
      <c r="F143">
        <f t="shared" si="23"/>
        <v>-0.84201466882547571</v>
      </c>
      <c r="G143">
        <f t="shared" si="25"/>
        <v>-0.35910494128419873</v>
      </c>
      <c r="H143">
        <f t="shared" si="26"/>
        <v>12.664159727541277</v>
      </c>
      <c r="S143">
        <v>9.1312519999999999</v>
      </c>
      <c r="T143">
        <v>10.412509534925716</v>
      </c>
      <c r="U143">
        <f t="shared" si="18"/>
        <v>-1.2812575349257163</v>
      </c>
      <c r="W143">
        <f t="shared" si="19"/>
        <v>1.2812575349257163</v>
      </c>
    </row>
    <row r="144" spans="1:23" x14ac:dyDescent="0.25">
      <c r="A144">
        <v>12.4</v>
      </c>
      <c r="B144">
        <f t="shared" si="24"/>
        <v>139</v>
      </c>
      <c r="C144">
        <f t="shared" si="20"/>
        <v>-3.5502753790352584</v>
      </c>
      <c r="D144">
        <f t="shared" si="21"/>
        <v>12.911779640142832</v>
      </c>
      <c r="E144">
        <f t="shared" si="22"/>
        <v>0.26191840006472644</v>
      </c>
      <c r="F144">
        <f t="shared" si="23"/>
        <v>-0.51177964014283184</v>
      </c>
      <c r="G144">
        <f t="shared" si="25"/>
        <v>-0.61604212150858961</v>
      </c>
      <c r="H144">
        <f t="shared" si="26"/>
        <v>12.295737518634242</v>
      </c>
      <c r="S144">
        <v>8.3812510000000007</v>
      </c>
      <c r="T144">
        <v>9.9549035986571628</v>
      </c>
      <c r="U144">
        <f t="shared" si="18"/>
        <v>-1.5736525986571621</v>
      </c>
      <c r="W144">
        <f t="shared" si="19"/>
        <v>1.5736525986571621</v>
      </c>
    </row>
    <row r="145" spans="1:23" x14ac:dyDescent="0.25">
      <c r="A145">
        <v>12.175000000000001</v>
      </c>
      <c r="B145">
        <f t="shared" si="24"/>
        <v>140</v>
      </c>
      <c r="C145">
        <f t="shared" si="20"/>
        <v>-3.6607083845018735</v>
      </c>
      <c r="D145">
        <f t="shared" si="21"/>
        <v>12.801346634676218</v>
      </c>
      <c r="E145">
        <f t="shared" si="22"/>
        <v>0.39231010677022271</v>
      </c>
      <c r="F145">
        <f t="shared" si="23"/>
        <v>-0.62634663467621721</v>
      </c>
      <c r="G145">
        <f t="shared" si="25"/>
        <v>-0.25429809397552083</v>
      </c>
      <c r="H145">
        <f t="shared" si="26"/>
        <v>12.547048540700697</v>
      </c>
      <c r="S145">
        <v>9.2187509999999993</v>
      </c>
      <c r="T145">
        <v>9.4231544057922765</v>
      </c>
      <c r="U145">
        <f t="shared" si="18"/>
        <v>-0.20440340579227723</v>
      </c>
      <c r="W145">
        <f t="shared" si="19"/>
        <v>0.20440340579227723</v>
      </c>
    </row>
    <row r="146" spans="1:23" x14ac:dyDescent="0.25">
      <c r="A146">
        <v>10.53125</v>
      </c>
      <c r="B146">
        <f t="shared" si="24"/>
        <v>141</v>
      </c>
      <c r="C146">
        <f t="shared" si="20"/>
        <v>-3.7700566430696081</v>
      </c>
      <c r="D146">
        <f t="shared" si="21"/>
        <v>12.691998376108483</v>
      </c>
      <c r="E146">
        <f t="shared" si="22"/>
        <v>4.6688335448554463</v>
      </c>
      <c r="F146">
        <f t="shared" si="23"/>
        <v>-2.1607483761084829</v>
      </c>
      <c r="G146">
        <f t="shared" si="25"/>
        <v>-0.48915567343848138</v>
      </c>
      <c r="H146">
        <f t="shared" si="26"/>
        <v>12.202842702670001</v>
      </c>
      <c r="S146">
        <v>9.5375010000000007</v>
      </c>
      <c r="T146">
        <v>10.308499322962804</v>
      </c>
      <c r="U146">
        <f t="shared" si="18"/>
        <v>-0.77099832296280368</v>
      </c>
      <c r="W146">
        <f t="shared" si="19"/>
        <v>0.77099832296280368</v>
      </c>
    </row>
    <row r="147" spans="1:23" x14ac:dyDescent="0.25">
      <c r="A147">
        <v>9.5500000000000007</v>
      </c>
      <c r="B147">
        <f t="shared" si="24"/>
        <v>142</v>
      </c>
      <c r="C147">
        <f t="shared" si="20"/>
        <v>-3.878287752489511</v>
      </c>
      <c r="D147">
        <f t="shared" si="21"/>
        <v>12.58376726668858</v>
      </c>
      <c r="E147">
        <f t="shared" si="22"/>
        <v>9.2037438284310955</v>
      </c>
      <c r="F147">
        <f t="shared" si="23"/>
        <v>-3.0337672666885798</v>
      </c>
      <c r="G147">
        <f t="shared" si="25"/>
        <v>-1.7031912148976467</v>
      </c>
      <c r="H147">
        <f t="shared" si="26"/>
        <v>10.880576051790934</v>
      </c>
      <c r="S147">
        <v>10.725</v>
      </c>
      <c r="T147">
        <v>10.168399888047034</v>
      </c>
      <c r="U147">
        <f t="shared" si="18"/>
        <v>0.55660011195296555</v>
      </c>
      <c r="W147">
        <f t="shared" si="19"/>
        <v>0.55660011195296555</v>
      </c>
    </row>
    <row r="148" spans="1:23" x14ac:dyDescent="0.25">
      <c r="A148">
        <v>8.9000020000000006</v>
      </c>
      <c r="B148">
        <f t="shared" si="24"/>
        <v>143</v>
      </c>
      <c r="C148">
        <f t="shared" si="20"/>
        <v>-3.9853696415480471</v>
      </c>
      <c r="D148">
        <f t="shared" si="21"/>
        <v>12.476685377630044</v>
      </c>
      <c r="E148">
        <f t="shared" si="22"/>
        <v>12.792663983815059</v>
      </c>
      <c r="F148">
        <f t="shared" si="23"/>
        <v>-3.5766833776300437</v>
      </c>
      <c r="G148">
        <f t="shared" si="25"/>
        <v>-1.9669446070867564</v>
      </c>
      <c r="H148">
        <f t="shared" si="26"/>
        <v>10.509740770543289</v>
      </c>
      <c r="S148">
        <v>10.84375</v>
      </c>
      <c r="T148">
        <v>11.162546684038105</v>
      </c>
      <c r="U148">
        <f t="shared" si="18"/>
        <v>-0.31879668403810513</v>
      </c>
      <c r="W148">
        <f t="shared" si="19"/>
        <v>0.31879668403810513</v>
      </c>
    </row>
    <row r="149" spans="1:23" x14ac:dyDescent="0.25">
      <c r="A149">
        <v>9.3500010000000007</v>
      </c>
      <c r="B149">
        <f t="shared" si="24"/>
        <v>144</v>
      </c>
      <c r="C149">
        <f t="shared" si="20"/>
        <v>-4.0912705795704714</v>
      </c>
      <c r="D149">
        <f t="shared" si="21"/>
        <v>12.37078443960762</v>
      </c>
      <c r="E149">
        <f t="shared" si="22"/>
        <v>9.1251325890076398</v>
      </c>
      <c r="F149">
        <f t="shared" si="23"/>
        <v>-3.0207834396076194</v>
      </c>
      <c r="G149">
        <f t="shared" si="25"/>
        <v>-2.3707763228240171</v>
      </c>
      <c r="H149">
        <f t="shared" si="26"/>
        <v>10.000008116783603</v>
      </c>
      <c r="S149">
        <v>11.324999999999999</v>
      </c>
      <c r="T149">
        <v>10.89796898615252</v>
      </c>
      <c r="U149">
        <f t="shared" si="18"/>
        <v>0.4270310138474791</v>
      </c>
      <c r="W149">
        <f t="shared" si="19"/>
        <v>0.4270310138474791</v>
      </c>
    </row>
    <row r="150" spans="1:23" x14ac:dyDescent="0.25">
      <c r="A150">
        <v>9.1312519999999999</v>
      </c>
      <c r="B150">
        <f t="shared" si="24"/>
        <v>145</v>
      </c>
      <c r="C150">
        <f t="shared" si="20"/>
        <v>-4.1959591858233178</v>
      </c>
      <c r="D150">
        <f t="shared" si="21"/>
        <v>12.266095833354774</v>
      </c>
      <c r="E150">
        <f t="shared" si="22"/>
        <v>9.8272458595224528</v>
      </c>
      <c r="F150">
        <f t="shared" si="23"/>
        <v>-3.1348438333547737</v>
      </c>
      <c r="G150">
        <f t="shared" si="25"/>
        <v>-1.8535862984290574</v>
      </c>
      <c r="H150">
        <f t="shared" si="26"/>
        <v>10.412509534925716</v>
      </c>
      <c r="S150">
        <v>10.88125</v>
      </c>
      <c r="T150">
        <v>11.410440551779546</v>
      </c>
      <c r="U150">
        <f t="shared" si="18"/>
        <v>-0.52919055177954633</v>
      </c>
      <c r="W150">
        <f t="shared" si="19"/>
        <v>0.52919055177954633</v>
      </c>
    </row>
    <row r="151" spans="1:23" x14ac:dyDescent="0.25">
      <c r="A151">
        <v>8.3812510000000007</v>
      </c>
      <c r="B151">
        <f t="shared" si="24"/>
        <v>146</v>
      </c>
      <c r="C151">
        <f t="shared" si="20"/>
        <v>-4.2994044388131902</v>
      </c>
      <c r="D151">
        <f t="shared" si="21"/>
        <v>12.1626505803649</v>
      </c>
      <c r="E151">
        <f t="shared" si="22"/>
        <v>14.298982786383839</v>
      </c>
      <c r="F151">
        <f t="shared" si="23"/>
        <v>-3.7813995803648996</v>
      </c>
      <c r="G151">
        <f t="shared" si="25"/>
        <v>-2.2077469817077375</v>
      </c>
      <c r="H151">
        <f t="shared" si="26"/>
        <v>9.9549035986571628</v>
      </c>
      <c r="S151">
        <v>12.112500000000001</v>
      </c>
      <c r="T151">
        <v>10.867902866672388</v>
      </c>
      <c r="U151">
        <f t="shared" si="18"/>
        <v>1.2445971333276127</v>
      </c>
      <c r="W151">
        <f t="shared" si="19"/>
        <v>1.2445971333276127</v>
      </c>
    </row>
    <row r="152" spans="1:23" x14ac:dyDescent="0.25">
      <c r="A152">
        <v>9.2187509999999993</v>
      </c>
      <c r="B152">
        <f t="shared" si="24"/>
        <v>147</v>
      </c>
      <c r="C152">
        <f t="shared" si="20"/>
        <v>-4.4015756854790933</v>
      </c>
      <c r="D152">
        <f t="shared" si="21"/>
        <v>12.060479333698998</v>
      </c>
      <c r="E152">
        <f t="shared" si="22"/>
        <v>8.0754199225476881</v>
      </c>
      <c r="F152">
        <f t="shared" si="23"/>
        <v>-2.8417283336989989</v>
      </c>
      <c r="G152">
        <f t="shared" si="25"/>
        <v>-2.6373249279067217</v>
      </c>
      <c r="H152">
        <f t="shared" si="26"/>
        <v>9.4231544057922765</v>
      </c>
      <c r="S152">
        <v>12.6875</v>
      </c>
      <c r="T152">
        <v>12.093531511281952</v>
      </c>
      <c r="U152">
        <f t="shared" si="18"/>
        <v>0.59396848871804764</v>
      </c>
      <c r="W152">
        <f t="shared" si="19"/>
        <v>0.59396848871804764</v>
      </c>
    </row>
    <row r="153" spans="1:23" x14ac:dyDescent="0.25">
      <c r="A153">
        <v>9.5375010000000007</v>
      </c>
      <c r="B153">
        <f t="shared" si="24"/>
        <v>148</v>
      </c>
      <c r="C153">
        <f t="shared" si="20"/>
        <v>-4.5024426502756061</v>
      </c>
      <c r="D153">
        <f t="shared" si="21"/>
        <v>11.959612368902485</v>
      </c>
      <c r="E153">
        <f t="shared" si="22"/>
        <v>5.8666234833666682</v>
      </c>
      <c r="F153">
        <f t="shared" si="23"/>
        <v>-2.4221113689024847</v>
      </c>
      <c r="G153">
        <f t="shared" si="25"/>
        <v>-1.6511130459396814</v>
      </c>
      <c r="H153">
        <f t="shared" si="26"/>
        <v>10.308499322962804</v>
      </c>
      <c r="S153">
        <v>9.4437499999999996</v>
      </c>
      <c r="T153">
        <v>12.091775188233919</v>
      </c>
      <c r="U153">
        <f t="shared" si="18"/>
        <v>-2.6480251882339196</v>
      </c>
      <c r="W153">
        <f t="shared" si="19"/>
        <v>2.6480251882339196</v>
      </c>
    </row>
    <row r="154" spans="1:23" x14ac:dyDescent="0.25">
      <c r="A154">
        <v>10.725</v>
      </c>
      <c r="B154">
        <f t="shared" si="24"/>
        <v>149</v>
      </c>
      <c r="C154">
        <f t="shared" si="20"/>
        <v>-4.6019754441441716</v>
      </c>
      <c r="D154">
        <f t="shared" si="21"/>
        <v>11.86007957503392</v>
      </c>
      <c r="E154">
        <f t="shared" si="22"/>
        <v>1.2884056416591849</v>
      </c>
      <c r="F154">
        <f t="shared" si="23"/>
        <v>-1.1350795750339202</v>
      </c>
      <c r="G154">
        <f t="shared" si="25"/>
        <v>-1.6916796869868862</v>
      </c>
      <c r="H154">
        <f t="shared" si="26"/>
        <v>10.168399888047034</v>
      </c>
      <c r="S154">
        <v>9.4187519999999996</v>
      </c>
      <c r="T154">
        <v>9.3127618236499785</v>
      </c>
      <c r="U154">
        <f t="shared" si="18"/>
        <v>0.10599017635002106</v>
      </c>
      <c r="W154">
        <f t="shared" si="19"/>
        <v>0.10599017635002106</v>
      </c>
    </row>
    <row r="155" spans="1:23" x14ac:dyDescent="0.25">
      <c r="A155">
        <v>10.84375</v>
      </c>
      <c r="B155">
        <f t="shared" si="24"/>
        <v>150</v>
      </c>
      <c r="C155">
        <f t="shared" si="20"/>
        <v>-4.7001445733698732</v>
      </c>
      <c r="D155">
        <f t="shared" si="21"/>
        <v>11.761910445808219</v>
      </c>
      <c r="E155">
        <f t="shared" si="22"/>
        <v>0.84301860424674768</v>
      </c>
      <c r="F155">
        <f t="shared" si="23"/>
        <v>-0.91816044580821909</v>
      </c>
      <c r="G155">
        <f t="shared" si="25"/>
        <v>-0.59936376177011386</v>
      </c>
      <c r="H155">
        <f t="shared" si="26"/>
        <v>11.162546684038105</v>
      </c>
      <c r="S155">
        <v>8.6500020000000006</v>
      </c>
      <c r="T155">
        <v>10.388067132813957</v>
      </c>
      <c r="U155">
        <f t="shared" si="18"/>
        <v>-1.738065132813956</v>
      </c>
      <c r="W155">
        <f t="shared" si="19"/>
        <v>1.738065132813956</v>
      </c>
    </row>
    <row r="156" spans="1:23" x14ac:dyDescent="0.25">
      <c r="A156">
        <v>11.324999999999999</v>
      </c>
      <c r="B156">
        <f t="shared" si="24"/>
        <v>151</v>
      </c>
      <c r="C156">
        <f t="shared" si="20"/>
        <v>-4.7969209483210591</v>
      </c>
      <c r="D156">
        <f t="shared" si="21"/>
        <v>11.665134070857032</v>
      </c>
      <c r="E156">
        <f t="shared" si="22"/>
        <v>0.1156911861577772</v>
      </c>
      <c r="F156">
        <f t="shared" si="23"/>
        <v>-0.34013407085703307</v>
      </c>
      <c r="G156">
        <f t="shared" si="25"/>
        <v>-0.76716508470451306</v>
      </c>
      <c r="H156">
        <f t="shared" si="26"/>
        <v>10.89796898615252</v>
      </c>
      <c r="S156">
        <v>7.7874999999999996</v>
      </c>
      <c r="T156">
        <v>9.244075328483552</v>
      </c>
      <c r="U156">
        <f t="shared" si="18"/>
        <v>-1.4565753284835523</v>
      </c>
      <c r="W156">
        <f t="shared" si="19"/>
        <v>1.4565753284835523</v>
      </c>
    </row>
    <row r="157" spans="1:23" x14ac:dyDescent="0.25">
      <c r="A157">
        <v>10.88125</v>
      </c>
      <c r="B157">
        <f t="shared" si="24"/>
        <v>152</v>
      </c>
      <c r="C157">
        <f t="shared" si="20"/>
        <v>-4.8922758920692218</v>
      </c>
      <c r="D157">
        <f t="shared" si="21"/>
        <v>11.56977912710887</v>
      </c>
      <c r="E157">
        <f t="shared" si="22"/>
        <v>0.47407235887730254</v>
      </c>
      <c r="F157">
        <f t="shared" si="23"/>
        <v>-0.68852912710887004</v>
      </c>
      <c r="G157">
        <f t="shared" si="25"/>
        <v>-0.15933857532932405</v>
      </c>
      <c r="H157">
        <f t="shared" si="26"/>
        <v>11.410440551779546</v>
      </c>
      <c r="S157">
        <v>7.8187499999999996</v>
      </c>
      <c r="T157">
        <v>8.730038567248501</v>
      </c>
      <c r="U157">
        <f t="shared" si="18"/>
        <v>-0.91128856724850138</v>
      </c>
      <c r="W157">
        <f t="shared" si="19"/>
        <v>0.91128856724850138</v>
      </c>
    </row>
    <row r="158" spans="1:23" x14ac:dyDescent="0.25">
      <c r="A158">
        <v>12.112500000000001</v>
      </c>
      <c r="B158">
        <f t="shared" si="24"/>
        <v>153</v>
      </c>
      <c r="C158">
        <f t="shared" si="20"/>
        <v>-4.9861811488866037</v>
      </c>
      <c r="D158">
        <f t="shared" si="21"/>
        <v>11.475873870291487</v>
      </c>
      <c r="E158">
        <f t="shared" si="22"/>
        <v>0.40529282902764147</v>
      </c>
      <c r="F158">
        <f t="shared" si="23"/>
        <v>0.63662612970851384</v>
      </c>
      <c r="G158">
        <f t="shared" si="25"/>
        <v>-0.60797100361909973</v>
      </c>
      <c r="H158">
        <f t="shared" si="26"/>
        <v>10.867902866672388</v>
      </c>
      <c r="S158">
        <v>7.8562510000000003</v>
      </c>
      <c r="T158">
        <v>8.8946088213358365</v>
      </c>
      <c r="U158">
        <f t="shared" si="18"/>
        <v>-1.0383578213358362</v>
      </c>
      <c r="W158">
        <f t="shared" si="19"/>
        <v>1.0383578213358362</v>
      </c>
    </row>
    <row r="159" spans="1:23" x14ac:dyDescent="0.25">
      <c r="A159">
        <v>12.6875</v>
      </c>
      <c r="B159">
        <f t="shared" si="24"/>
        <v>154</v>
      </c>
      <c r="C159">
        <f t="shared" si="20"/>
        <v>-5.0786088926189681</v>
      </c>
      <c r="D159">
        <f t="shared" si="21"/>
        <v>11.383446126559123</v>
      </c>
      <c r="E159">
        <f t="shared" si="22"/>
        <v>1.7005565048361539</v>
      </c>
      <c r="F159">
        <f t="shared" si="23"/>
        <v>1.3040538734408766</v>
      </c>
      <c r="G159">
        <f t="shared" si="25"/>
        <v>0.71008538472282989</v>
      </c>
      <c r="H159">
        <f t="shared" si="26"/>
        <v>12.093531511281952</v>
      </c>
      <c r="S159">
        <v>11.3375</v>
      </c>
      <c r="T159">
        <v>8.7647079678629183</v>
      </c>
      <c r="U159">
        <f t="shared" si="18"/>
        <v>2.5727920321370821</v>
      </c>
      <c r="W159">
        <f t="shared" si="19"/>
        <v>2.5727920321370821</v>
      </c>
    </row>
    <row r="160" spans="1:23" x14ac:dyDescent="0.25">
      <c r="A160">
        <v>9.4437499999999996</v>
      </c>
      <c r="B160">
        <f t="shared" si="24"/>
        <v>155</v>
      </c>
      <c r="C160">
        <f t="shared" si="20"/>
        <v>-5.169531734931093</v>
      </c>
      <c r="D160">
        <f t="shared" si="21"/>
        <v>11.292523284246998</v>
      </c>
      <c r="E160">
        <f t="shared" si="22"/>
        <v>3.4179626565454342</v>
      </c>
      <c r="F160">
        <f t="shared" si="23"/>
        <v>-1.8487732842469988</v>
      </c>
      <c r="G160">
        <f t="shared" si="25"/>
        <v>0.79925190398692003</v>
      </c>
      <c r="H160">
        <f t="shared" si="26"/>
        <v>12.091775188233919</v>
      </c>
      <c r="S160">
        <v>7.7625000000000002</v>
      </c>
      <c r="T160">
        <v>11.67942446263906</v>
      </c>
      <c r="U160">
        <f t="shared" si="18"/>
        <v>-3.9169244626390602</v>
      </c>
      <c r="W160">
        <f t="shared" si="19"/>
        <v>3.9169244626390602</v>
      </c>
    </row>
    <row r="161" spans="1:23" x14ac:dyDescent="0.25">
      <c r="A161">
        <v>9.4187519999999996</v>
      </c>
      <c r="B161">
        <f t="shared" si="24"/>
        <v>156</v>
      </c>
      <c r="C161">
        <f t="shared" si="20"/>
        <v>-5.2589227334225281</v>
      </c>
      <c r="D161">
        <f t="shared" si="21"/>
        <v>11.203132285755563</v>
      </c>
      <c r="E161">
        <f t="shared" si="22"/>
        <v>3.1840130041931074</v>
      </c>
      <c r="F161">
        <f t="shared" si="23"/>
        <v>-1.7843802857555637</v>
      </c>
      <c r="G161">
        <f t="shared" si="25"/>
        <v>-1.8903704621055843</v>
      </c>
      <c r="H161">
        <f t="shared" si="26"/>
        <v>9.3127618236499785</v>
      </c>
      <c r="S161">
        <v>7.9749999999999996</v>
      </c>
      <c r="T161">
        <v>7.5173990837162439</v>
      </c>
      <c r="U161">
        <f t="shared" si="18"/>
        <v>0.45760091628375577</v>
      </c>
      <c r="W161">
        <f t="shared" si="19"/>
        <v>0.45760091628375577</v>
      </c>
    </row>
    <row r="162" spans="1:23" x14ac:dyDescent="0.25">
      <c r="A162">
        <v>8.6500020000000006</v>
      </c>
      <c r="B162">
        <f t="shared" si="24"/>
        <v>157</v>
      </c>
      <c r="C162">
        <f t="shared" si="20"/>
        <v>-5.3467553996111992</v>
      </c>
      <c r="D162">
        <f t="shared" si="21"/>
        <v>11.115299619566892</v>
      </c>
      <c r="E162">
        <f t="shared" si="22"/>
        <v>6.077692353042182</v>
      </c>
      <c r="F162">
        <f t="shared" si="23"/>
        <v>-2.4652976195668916</v>
      </c>
      <c r="G162">
        <f t="shared" si="25"/>
        <v>-0.72723248675293561</v>
      </c>
      <c r="H162">
        <f t="shared" si="26"/>
        <v>10.388067132813957</v>
      </c>
      <c r="S162">
        <v>12.518750000000001</v>
      </c>
      <c r="T162">
        <v>9.3285243358897905</v>
      </c>
      <c r="U162">
        <f t="shared" si="18"/>
        <v>3.1902256641102102</v>
      </c>
      <c r="W162">
        <f t="shared" si="19"/>
        <v>3.1902256641102102</v>
      </c>
    </row>
    <row r="163" spans="1:23" x14ac:dyDescent="0.25">
      <c r="A163">
        <v>7.7874999999999996</v>
      </c>
      <c r="B163">
        <f t="shared" si="24"/>
        <v>158</v>
      </c>
      <c r="C163">
        <f t="shared" si="20"/>
        <v>-5.4330037067825323</v>
      </c>
      <c r="D163">
        <f t="shared" si="21"/>
        <v>11.029051312395559</v>
      </c>
      <c r="E163">
        <f t="shared" si="22"/>
        <v>10.507654910893374</v>
      </c>
      <c r="F163">
        <f t="shared" si="23"/>
        <v>-3.2415513123955595</v>
      </c>
      <c r="G163">
        <f t="shared" si="25"/>
        <v>-1.7849759839120076</v>
      </c>
      <c r="H163">
        <f t="shared" si="26"/>
        <v>9.244075328483552</v>
      </c>
      <c r="S163">
        <v>11.56875</v>
      </c>
      <c r="T163">
        <v>12.561506182349468</v>
      </c>
      <c r="U163">
        <f t="shared" si="18"/>
        <v>-0.99275618234946883</v>
      </c>
      <c r="W163">
        <f t="shared" si="19"/>
        <v>0.99275618234946883</v>
      </c>
    </row>
    <row r="164" spans="1:23" x14ac:dyDescent="0.25">
      <c r="A164">
        <v>7.8187499999999996</v>
      </c>
      <c r="B164">
        <f t="shared" si="24"/>
        <v>159</v>
      </c>
      <c r="C164">
        <f t="shared" si="20"/>
        <v>-5.5176420977017235</v>
      </c>
      <c r="D164">
        <f t="shared" si="21"/>
        <v>10.944412921476367</v>
      </c>
      <c r="E164">
        <f t="shared" si="22"/>
        <v>9.7697686986921806</v>
      </c>
      <c r="F164">
        <f t="shared" si="23"/>
        <v>-3.1256629214763674</v>
      </c>
      <c r="G164">
        <f t="shared" si="25"/>
        <v>-2.2143743542278664</v>
      </c>
      <c r="H164">
        <f t="shared" si="26"/>
        <v>8.730038567248501</v>
      </c>
      <c r="S164">
        <v>12.18125</v>
      </c>
      <c r="T164">
        <v>10.308397631481794</v>
      </c>
      <c r="U164">
        <f t="shared" si="18"/>
        <v>1.8728523685182061</v>
      </c>
      <c r="W164">
        <f t="shared" si="19"/>
        <v>1.8728523685182061</v>
      </c>
    </row>
    <row r="165" spans="1:23" x14ac:dyDescent="0.25">
      <c r="A165">
        <v>7.8562510000000003</v>
      </c>
      <c r="B165">
        <f t="shared" si="24"/>
        <v>160</v>
      </c>
      <c r="C165">
        <f t="shared" si="20"/>
        <v>-5.6006454921868967</v>
      </c>
      <c r="D165">
        <f t="shared" si="21"/>
        <v>10.861409526991196</v>
      </c>
      <c r="E165">
        <f t="shared" si="22"/>
        <v>9.0309777723478906</v>
      </c>
      <c r="F165">
        <f t="shared" si="23"/>
        <v>-3.0051585269911953</v>
      </c>
      <c r="G165">
        <f t="shared" si="25"/>
        <v>-1.9668007056553596</v>
      </c>
      <c r="H165">
        <f t="shared" si="26"/>
        <v>8.8946088213358365</v>
      </c>
      <c r="S165">
        <v>10.75</v>
      </c>
      <c r="T165">
        <v>11.773346036024074</v>
      </c>
      <c r="U165">
        <f t="shared" si="18"/>
        <v>-1.0233460360240745</v>
      </c>
      <c r="W165">
        <f t="shared" si="19"/>
        <v>1.0233460360240745</v>
      </c>
    </row>
    <row r="166" spans="1:23" x14ac:dyDescent="0.25">
      <c r="A166">
        <v>11.3375</v>
      </c>
      <c r="B166">
        <f t="shared" si="24"/>
        <v>161</v>
      </c>
      <c r="C166">
        <f t="shared" si="20"/>
        <v>-5.681989294540907</v>
      </c>
      <c r="D166">
        <f t="shared" si="21"/>
        <v>10.780065724637184</v>
      </c>
      <c r="E166">
        <f t="shared" si="22"/>
        <v>0.31073297134926764</v>
      </c>
      <c r="F166">
        <f t="shared" si="23"/>
        <v>0.55743427536281587</v>
      </c>
      <c r="G166">
        <f t="shared" si="25"/>
        <v>-2.0153577567742662</v>
      </c>
      <c r="H166">
        <f t="shared" si="26"/>
        <v>8.7647079678629183</v>
      </c>
      <c r="S166">
        <v>9.7750020000000006</v>
      </c>
      <c r="T166">
        <v>10.204934819970832</v>
      </c>
      <c r="U166">
        <f t="shared" si="18"/>
        <v>-0.42993281997083166</v>
      </c>
      <c r="W166">
        <f t="shared" si="19"/>
        <v>0.42993281997083166</v>
      </c>
    </row>
    <row r="167" spans="1:23" x14ac:dyDescent="0.25">
      <c r="A167">
        <v>7.7625000000000002</v>
      </c>
      <c r="B167">
        <f t="shared" si="24"/>
        <v>162</v>
      </c>
      <c r="C167">
        <f t="shared" si="20"/>
        <v>-5.7616494008395698</v>
      </c>
      <c r="D167">
        <f t="shared" si="21"/>
        <v>10.700405618338522</v>
      </c>
      <c r="E167">
        <f t="shared" si="22"/>
        <v>8.6312894222650502</v>
      </c>
      <c r="F167">
        <f t="shared" si="23"/>
        <v>-2.9379056183385215</v>
      </c>
      <c r="G167">
        <f t="shared" si="25"/>
        <v>0.97901884430053887</v>
      </c>
      <c r="H167">
        <f t="shared" si="26"/>
        <v>11.67942446263906</v>
      </c>
      <c r="S167">
        <v>7.3062509999999996</v>
      </c>
      <c r="T167">
        <v>9.907114544833199</v>
      </c>
      <c r="U167">
        <f t="shared" si="18"/>
        <v>-2.6008635448331994</v>
      </c>
      <c r="W167">
        <f t="shared" si="19"/>
        <v>2.6008635448331994</v>
      </c>
    </row>
    <row r="168" spans="1:23" x14ac:dyDescent="0.25">
      <c r="A168">
        <v>7.9749999999999996</v>
      </c>
      <c r="B168">
        <f t="shared" si="24"/>
        <v>163</v>
      </c>
      <c r="C168">
        <f t="shared" si="20"/>
        <v>-5.8396022060741872</v>
      </c>
      <c r="D168">
        <f t="shared" si="21"/>
        <v>10.622452813103905</v>
      </c>
      <c r="E168">
        <f t="shared" si="22"/>
        <v>7.0090063976117829</v>
      </c>
      <c r="F168">
        <f t="shared" si="23"/>
        <v>-2.6474528131039055</v>
      </c>
      <c r="G168">
        <f t="shared" si="25"/>
        <v>-3.1050537293876612</v>
      </c>
      <c r="H168">
        <f t="shared" si="26"/>
        <v>7.5173990837162439</v>
      </c>
      <c r="S168">
        <v>10.19375</v>
      </c>
      <c r="T168">
        <v>7.9003933969518538</v>
      </c>
      <c r="U168">
        <f t="shared" si="18"/>
        <v>2.2933566030481458</v>
      </c>
      <c r="W168">
        <f t="shared" si="19"/>
        <v>2.2933566030481458</v>
      </c>
    </row>
    <row r="169" spans="1:23" x14ac:dyDescent="0.25">
      <c r="A169">
        <v>12.518750000000001</v>
      </c>
      <c r="B169">
        <f t="shared" si="24"/>
        <v>164</v>
      </c>
      <c r="C169">
        <f t="shared" si="20"/>
        <v>-5.9158246111462072</v>
      </c>
      <c r="D169">
        <f t="shared" si="21"/>
        <v>10.546230408031885</v>
      </c>
      <c r="E169">
        <f t="shared" si="22"/>
        <v>3.8908335406980612</v>
      </c>
      <c r="F169">
        <f t="shared" si="23"/>
        <v>1.9725195919681155</v>
      </c>
      <c r="G169">
        <f t="shared" si="25"/>
        <v>-1.2177060721420949</v>
      </c>
      <c r="H169">
        <f t="shared" si="26"/>
        <v>9.3285243358897905</v>
      </c>
      <c r="S169">
        <v>12.331250000000001</v>
      </c>
      <c r="T169">
        <v>10.974606813164055</v>
      </c>
      <c r="U169">
        <f t="shared" si="18"/>
        <v>1.3566431868359459</v>
      </c>
      <c r="W169">
        <f t="shared" si="19"/>
        <v>1.3566431868359459</v>
      </c>
    </row>
    <row r="170" spans="1:23" x14ac:dyDescent="0.25">
      <c r="A170">
        <v>11.56875</v>
      </c>
      <c r="B170">
        <f t="shared" si="24"/>
        <v>165</v>
      </c>
      <c r="C170">
        <f t="shared" si="20"/>
        <v>-5.9902940297119942</v>
      </c>
      <c r="D170">
        <f t="shared" si="21"/>
        <v>10.471760989466098</v>
      </c>
      <c r="E170">
        <f t="shared" si="22"/>
        <v>1.2033848892321484</v>
      </c>
      <c r="F170">
        <f t="shared" si="23"/>
        <v>1.0969890105339015</v>
      </c>
      <c r="G170">
        <f t="shared" si="25"/>
        <v>2.0897451928833708</v>
      </c>
      <c r="H170">
        <f t="shared" si="26"/>
        <v>12.561506182349468</v>
      </c>
      <c r="S170">
        <v>12.78125</v>
      </c>
      <c r="T170">
        <v>11.478518512625296</v>
      </c>
      <c r="U170">
        <f t="shared" si="18"/>
        <v>1.3027314873747038</v>
      </c>
      <c r="W170">
        <f t="shared" si="19"/>
        <v>1.3027314873747038</v>
      </c>
    </row>
    <row r="171" spans="1:23" x14ac:dyDescent="0.25">
      <c r="A171">
        <v>12.18125</v>
      </c>
      <c r="B171">
        <f t="shared" si="24"/>
        <v>166</v>
      </c>
      <c r="C171">
        <f t="shared" si="20"/>
        <v>-6.0629883948756431</v>
      </c>
      <c r="D171">
        <f t="shared" si="21"/>
        <v>10.399066624302449</v>
      </c>
      <c r="E171">
        <f t="shared" si="22"/>
        <v>3.1761775846127187</v>
      </c>
      <c r="F171">
        <f t="shared" si="23"/>
        <v>1.7821833756975511</v>
      </c>
      <c r="G171">
        <f t="shared" si="25"/>
        <v>-9.066899282065416E-2</v>
      </c>
      <c r="H171">
        <f t="shared" si="26"/>
        <v>10.308397631481794</v>
      </c>
      <c r="S171">
        <v>11.043749999999999</v>
      </c>
      <c r="T171">
        <v>11.577505268586165</v>
      </c>
      <c r="U171">
        <f t="shared" si="18"/>
        <v>-0.53375526858616595</v>
      </c>
      <c r="W171">
        <f t="shared" si="19"/>
        <v>0.53375526858616595</v>
      </c>
    </row>
    <row r="172" spans="1:23" x14ac:dyDescent="0.25">
      <c r="A172">
        <v>10.75</v>
      </c>
      <c r="B172">
        <f t="shared" si="24"/>
        <v>167</v>
      </c>
      <c r="C172">
        <f t="shared" si="20"/>
        <v>-6.1338861657278834</v>
      </c>
      <c r="D172">
        <f t="shared" si="21"/>
        <v>10.328168853450208</v>
      </c>
      <c r="E172">
        <f t="shared" si="22"/>
        <v>0.17794151619951204</v>
      </c>
      <c r="F172">
        <f t="shared" si="23"/>
        <v>0.42183114654979192</v>
      </c>
      <c r="G172">
        <f t="shared" si="25"/>
        <v>1.4451771825738664</v>
      </c>
      <c r="H172">
        <f t="shared" si="26"/>
        <v>11.773346036024074</v>
      </c>
      <c r="S172">
        <v>8.9937520000000006</v>
      </c>
      <c r="T172">
        <v>10.256806110524877</v>
      </c>
      <c r="U172">
        <f t="shared" si="18"/>
        <v>-1.2630541105248767</v>
      </c>
      <c r="W172">
        <f t="shared" si="19"/>
        <v>1.2630541105248767</v>
      </c>
    </row>
    <row r="173" spans="1:23" x14ac:dyDescent="0.25">
      <c r="A173">
        <v>9.7750020000000006</v>
      </c>
      <c r="B173">
        <f t="shared" si="24"/>
        <v>168</v>
      </c>
      <c r="C173">
        <f t="shared" si="20"/>
        <v>-6.2029663337291128</v>
      </c>
      <c r="D173">
        <f t="shared" si="21"/>
        <v>10.25908868544898</v>
      </c>
      <c r="E173">
        <f t="shared" si="22"/>
        <v>0.23433991902897866</v>
      </c>
      <c r="F173">
        <f t="shared" si="23"/>
        <v>-0.48408668544897893</v>
      </c>
      <c r="G173">
        <f t="shared" si="25"/>
        <v>-5.4153865478147767E-2</v>
      </c>
      <c r="H173">
        <f t="shared" si="26"/>
        <v>10.204934819970832</v>
      </c>
      <c r="S173">
        <v>11.5375</v>
      </c>
      <c r="T173">
        <v>9.1271840820359458</v>
      </c>
      <c r="U173">
        <f t="shared" si="18"/>
        <v>2.4103159179640539</v>
      </c>
      <c r="W173">
        <f t="shared" si="19"/>
        <v>2.4103159179640539</v>
      </c>
    </row>
    <row r="174" spans="1:23" x14ac:dyDescent="0.25">
      <c r="A174">
        <v>7.3062509999999996</v>
      </c>
      <c r="B174">
        <f t="shared" si="24"/>
        <v>169</v>
      </c>
      <c r="C174">
        <f t="shared" si="20"/>
        <v>-6.2702084289346809</v>
      </c>
      <c r="D174">
        <f t="shared" si="21"/>
        <v>10.191846590243411</v>
      </c>
      <c r="E174">
        <f t="shared" si="22"/>
        <v>8.3266619104322235</v>
      </c>
      <c r="F174">
        <f t="shared" si="23"/>
        <v>-2.8855955902434118</v>
      </c>
      <c r="G174">
        <f t="shared" si="25"/>
        <v>-0.28473204541021163</v>
      </c>
      <c r="H174">
        <f t="shared" si="26"/>
        <v>9.907114544833199</v>
      </c>
      <c r="S174">
        <v>12.025</v>
      </c>
      <c r="T174">
        <v>11.667907265875568</v>
      </c>
      <c r="U174">
        <f t="shared" si="18"/>
        <v>0.3570927341244321</v>
      </c>
      <c r="W174">
        <f t="shared" si="19"/>
        <v>0.3570927341244321</v>
      </c>
    </row>
    <row r="175" spans="1:23" x14ac:dyDescent="0.25">
      <c r="A175">
        <v>10.19375</v>
      </c>
      <c r="B175">
        <f t="shared" si="24"/>
        <v>170</v>
      </c>
      <c r="C175">
        <f t="shared" si="20"/>
        <v>-6.3355925260605765</v>
      </c>
      <c r="D175">
        <f t="shared" si="21"/>
        <v>10.126462493117515</v>
      </c>
      <c r="E175">
        <f t="shared" si="22"/>
        <v>4.5276085824604321E-3</v>
      </c>
      <c r="F175">
        <f t="shared" si="23"/>
        <v>6.7287506882484749E-2</v>
      </c>
      <c r="G175">
        <f t="shared" si="25"/>
        <v>-2.2260690961656606</v>
      </c>
      <c r="H175">
        <f t="shared" si="26"/>
        <v>7.9003933969518538</v>
      </c>
      <c r="S175">
        <v>11.643750000000001</v>
      </c>
      <c r="T175">
        <v>10.949600942564057</v>
      </c>
      <c r="U175">
        <f t="shared" si="18"/>
        <v>0.69414905743594346</v>
      </c>
      <c r="W175">
        <f t="shared" si="19"/>
        <v>0.69414905743594346</v>
      </c>
    </row>
    <row r="176" spans="1:23" x14ac:dyDescent="0.25">
      <c r="A176">
        <v>12.331250000000001</v>
      </c>
      <c r="B176">
        <f t="shared" si="24"/>
        <v>171</v>
      </c>
      <c r="C176">
        <f t="shared" si="20"/>
        <v>-6.3990992503877129</v>
      </c>
      <c r="D176">
        <f t="shared" si="21"/>
        <v>10.062955768790378</v>
      </c>
      <c r="E176">
        <f t="shared" si="22"/>
        <v>5.1451587193388546</v>
      </c>
      <c r="F176">
        <f t="shared" si="23"/>
        <v>2.268294231209623</v>
      </c>
      <c r="G176">
        <f t="shared" si="25"/>
        <v>0.91165104437367794</v>
      </c>
      <c r="H176">
        <f t="shared" si="26"/>
        <v>10.974606813164055</v>
      </c>
      <c r="S176">
        <v>11.4125</v>
      </c>
      <c r="T176">
        <v>10.827060906945874</v>
      </c>
      <c r="U176">
        <f t="shared" si="18"/>
        <v>0.58543909305412534</v>
      </c>
      <c r="W176">
        <f t="shared" si="19"/>
        <v>0.58543909305412534</v>
      </c>
    </row>
    <row r="177" spans="1:23" x14ac:dyDescent="0.25">
      <c r="A177">
        <v>12.78125</v>
      </c>
      <c r="B177">
        <f t="shared" si="24"/>
        <v>172</v>
      </c>
      <c r="C177">
        <f t="shared" si="20"/>
        <v>-6.4607097835030878</v>
      </c>
      <c r="D177">
        <f t="shared" si="21"/>
        <v>10.001345235675004</v>
      </c>
      <c r="E177">
        <f t="shared" si="22"/>
        <v>7.7278704987168139</v>
      </c>
      <c r="F177">
        <f t="shared" si="23"/>
        <v>2.7799047643249963</v>
      </c>
      <c r="G177">
        <f t="shared" si="25"/>
        <v>1.4771732769502917</v>
      </c>
      <c r="H177">
        <f t="shared" si="26"/>
        <v>11.478518512625296</v>
      </c>
      <c r="S177">
        <v>12.481249999999999</v>
      </c>
      <c r="T177">
        <v>10.810370643807635</v>
      </c>
      <c r="U177">
        <f t="shared" si="18"/>
        <v>1.6708793561923638</v>
      </c>
      <c r="W177">
        <f t="shared" si="19"/>
        <v>1.6708793561923638</v>
      </c>
    </row>
    <row r="178" spans="1:23" x14ac:dyDescent="0.25">
      <c r="A178">
        <v>11.043749999999999</v>
      </c>
      <c r="B178">
        <f t="shared" si="24"/>
        <v>173</v>
      </c>
      <c r="C178">
        <f t="shared" si="20"/>
        <v>-6.5204058688760735</v>
      </c>
      <c r="D178">
        <f t="shared" si="21"/>
        <v>9.9416491503020179</v>
      </c>
      <c r="E178">
        <f t="shared" si="22"/>
        <v>1.2146262829050125</v>
      </c>
      <c r="F178">
        <f t="shared" si="23"/>
        <v>1.1021008496979814</v>
      </c>
      <c r="G178">
        <f t="shared" si="25"/>
        <v>1.6358561182841471</v>
      </c>
      <c r="H178">
        <f t="shared" si="26"/>
        <v>11.577505268586165</v>
      </c>
      <c r="S178">
        <v>11.987500000000001</v>
      </c>
      <c r="T178">
        <v>11.719904754354493</v>
      </c>
      <c r="U178">
        <f t="shared" si="18"/>
        <v>0.26759524564550752</v>
      </c>
      <c r="W178">
        <f t="shared" si="19"/>
        <v>0.26759524564550752</v>
      </c>
    </row>
    <row r="179" spans="1:23" x14ac:dyDescent="0.25">
      <c r="A179">
        <v>8.9937520000000006</v>
      </c>
      <c r="B179">
        <f t="shared" si="24"/>
        <v>174</v>
      </c>
      <c r="C179">
        <f t="shared" si="20"/>
        <v>-6.5781698172682264</v>
      </c>
      <c r="D179">
        <f t="shared" si="21"/>
        <v>9.883885201909866</v>
      </c>
      <c r="E179">
        <f t="shared" si="22"/>
        <v>0.79233711714230903</v>
      </c>
      <c r="F179">
        <f t="shared" si="23"/>
        <v>-0.89013320190986533</v>
      </c>
      <c r="G179">
        <f t="shared" si="25"/>
        <v>0.37292090861501076</v>
      </c>
      <c r="H179">
        <f t="shared" si="26"/>
        <v>10.256806110524877</v>
      </c>
      <c r="S179">
        <v>13.275</v>
      </c>
      <c r="T179">
        <v>10.912309182345339</v>
      </c>
      <c r="U179">
        <f t="shared" si="18"/>
        <v>2.362690817654661</v>
      </c>
      <c r="W179">
        <f t="shared" si="19"/>
        <v>2.362690817654661</v>
      </c>
    </row>
    <row r="180" spans="1:23" x14ac:dyDescent="0.25">
      <c r="A180">
        <v>11.5375</v>
      </c>
      <c r="B180">
        <f t="shared" si="24"/>
        <v>175</v>
      </c>
      <c r="C180">
        <f t="shared" si="20"/>
        <v>-6.6339845119749921</v>
      </c>
      <c r="D180">
        <f t="shared" si="21"/>
        <v>9.8280705072030994</v>
      </c>
      <c r="E180">
        <f t="shared" si="22"/>
        <v>2.9221491908438675</v>
      </c>
      <c r="F180">
        <f t="shared" si="23"/>
        <v>1.7094294927969003</v>
      </c>
      <c r="G180">
        <f t="shared" si="25"/>
        <v>-0.70088642516715272</v>
      </c>
      <c r="H180">
        <f t="shared" si="26"/>
        <v>9.1271840820359458</v>
      </c>
      <c r="S180">
        <v>10.4</v>
      </c>
      <c r="T180">
        <v>12.304425295687111</v>
      </c>
      <c r="U180">
        <f t="shared" si="18"/>
        <v>-1.9044252956871102</v>
      </c>
      <c r="W180">
        <f t="shared" si="19"/>
        <v>1.9044252956871102</v>
      </c>
    </row>
    <row r="181" spans="1:23" x14ac:dyDescent="0.25">
      <c r="A181">
        <v>12.025</v>
      </c>
      <c r="B181">
        <f t="shared" si="24"/>
        <v>176</v>
      </c>
      <c r="C181">
        <f t="shared" si="20"/>
        <v>-6.6878334138977475</v>
      </c>
      <c r="D181">
        <f t="shared" si="21"/>
        <v>9.7742216052803439</v>
      </c>
      <c r="E181">
        <f t="shared" si="22"/>
        <v>5.0660033821367936</v>
      </c>
      <c r="F181">
        <f t="shared" si="23"/>
        <v>2.2507783947196565</v>
      </c>
      <c r="G181">
        <f t="shared" si="25"/>
        <v>1.8936856605952246</v>
      </c>
      <c r="H181">
        <f t="shared" si="26"/>
        <v>11.667907265875568</v>
      </c>
      <c r="S181">
        <v>8.2437520000000006</v>
      </c>
      <c r="T181">
        <v>9.3737261352886705</v>
      </c>
      <c r="U181">
        <f t="shared" si="18"/>
        <v>-1.1299741352886699</v>
      </c>
      <c r="W181">
        <f t="shared" si="19"/>
        <v>1.1299741352886699</v>
      </c>
    </row>
    <row r="182" spans="1:23" x14ac:dyDescent="0.25">
      <c r="A182">
        <v>11.643750000000001</v>
      </c>
      <c r="B182">
        <f t="shared" si="24"/>
        <v>177</v>
      </c>
      <c r="C182">
        <f t="shared" si="20"/>
        <v>-6.7397005664446983</v>
      </c>
      <c r="D182">
        <f t="shared" si="21"/>
        <v>9.7223544527333932</v>
      </c>
      <c r="E182">
        <f t="shared" si="22"/>
        <v>3.6917608490559464</v>
      </c>
      <c r="F182">
        <f t="shared" si="23"/>
        <v>1.9213955472666076</v>
      </c>
      <c r="G182">
        <f t="shared" si="25"/>
        <v>1.2272464898306641</v>
      </c>
      <c r="H182">
        <f t="shared" si="26"/>
        <v>10.949600942564057</v>
      </c>
      <c r="S182">
        <v>10.25</v>
      </c>
      <c r="T182">
        <v>8.6473656071745193</v>
      </c>
      <c r="U182">
        <f t="shared" si="18"/>
        <v>1.6026343928254807</v>
      </c>
      <c r="W182">
        <f t="shared" si="19"/>
        <v>1.6026343928254807</v>
      </c>
    </row>
    <row r="183" spans="1:23" x14ac:dyDescent="0.25">
      <c r="A183">
        <v>11.4125</v>
      </c>
      <c r="B183">
        <f t="shared" si="24"/>
        <v>178</v>
      </c>
      <c r="C183">
        <f t="shared" si="20"/>
        <v>-6.7895706002591609</v>
      </c>
      <c r="D183">
        <f t="shared" si="21"/>
        <v>9.6724844189189305</v>
      </c>
      <c r="E183">
        <f t="shared" si="22"/>
        <v>3.0276542224048906</v>
      </c>
      <c r="F183">
        <f t="shared" si="23"/>
        <v>1.7400155810810691</v>
      </c>
      <c r="G183">
        <f t="shared" si="25"/>
        <v>1.1545764880269433</v>
      </c>
      <c r="H183">
        <f t="shared" si="26"/>
        <v>10.827060906945874</v>
      </c>
      <c r="S183">
        <v>10.893750000000001</v>
      </c>
      <c r="T183">
        <v>10.607021249058663</v>
      </c>
      <c r="U183">
        <f t="shared" si="18"/>
        <v>0.28672875094133765</v>
      </c>
      <c r="W183">
        <f t="shared" si="19"/>
        <v>0.28672875094133765</v>
      </c>
    </row>
    <row r="184" spans="1:23" x14ac:dyDescent="0.25">
      <c r="A184">
        <v>12.481249999999999</v>
      </c>
      <c r="B184">
        <f t="shared" si="24"/>
        <v>179</v>
      </c>
      <c r="C184">
        <f t="shared" si="20"/>
        <v>-6.8374287377738314</v>
      </c>
      <c r="D184">
        <f t="shared" si="21"/>
        <v>9.6246262814042609</v>
      </c>
      <c r="E184">
        <f t="shared" si="22"/>
        <v>8.1602990696437452</v>
      </c>
      <c r="F184">
        <f t="shared" si="23"/>
        <v>2.8566237185957384</v>
      </c>
      <c r="G184">
        <f t="shared" si="25"/>
        <v>1.1857443624033739</v>
      </c>
      <c r="H184">
        <f t="shared" si="26"/>
        <v>10.810370643807635</v>
      </c>
      <c r="S184">
        <v>12</v>
      </c>
      <c r="T184">
        <v>10.183978410579019</v>
      </c>
      <c r="U184">
        <f t="shared" si="18"/>
        <v>1.8160215894209806</v>
      </c>
      <c r="W184">
        <f t="shared" si="19"/>
        <v>1.8160215894209806</v>
      </c>
    </row>
    <row r="185" spans="1:23" x14ac:dyDescent="0.25">
      <c r="A185">
        <v>11.987500000000001</v>
      </c>
      <c r="B185">
        <f t="shared" si="24"/>
        <v>180</v>
      </c>
      <c r="C185">
        <f t="shared" si="20"/>
        <v>-6.8832607975897036</v>
      </c>
      <c r="D185">
        <f t="shared" si="21"/>
        <v>9.5787942215883888</v>
      </c>
      <c r="E185">
        <f t="shared" si="22"/>
        <v>5.8018635269534897</v>
      </c>
      <c r="F185">
        <f t="shared" si="23"/>
        <v>2.4087057784116119</v>
      </c>
      <c r="G185">
        <f t="shared" si="25"/>
        <v>2.1411105327661044</v>
      </c>
      <c r="H185">
        <f t="shared" si="26"/>
        <v>11.719904754354493</v>
      </c>
      <c r="S185">
        <v>10.3375</v>
      </c>
      <c r="T185">
        <v>11.198279820392521</v>
      </c>
      <c r="U185">
        <f t="shared" si="18"/>
        <v>-0.86077982039252099</v>
      </c>
      <c r="W185">
        <f t="shared" si="19"/>
        <v>0.86077982039252099</v>
      </c>
    </row>
    <row r="186" spans="1:23" x14ac:dyDescent="0.25">
      <c r="A186">
        <v>13.275</v>
      </c>
      <c r="B186">
        <f t="shared" si="24"/>
        <v>181</v>
      </c>
      <c r="C186">
        <f t="shared" si="20"/>
        <v>-6.9270531986783137</v>
      </c>
      <c r="D186">
        <f t="shared" si="21"/>
        <v>9.5350018204997777</v>
      </c>
      <c r="E186">
        <f t="shared" si="22"/>
        <v>13.987586382664979</v>
      </c>
      <c r="F186">
        <f t="shared" si="23"/>
        <v>3.7399981795002226</v>
      </c>
      <c r="G186">
        <f t="shared" si="25"/>
        <v>1.3773073618455616</v>
      </c>
      <c r="H186">
        <f t="shared" si="26"/>
        <v>10.912309182345339</v>
      </c>
      <c r="S186">
        <v>13.05</v>
      </c>
      <c r="T186">
        <v>9.5218733873313361</v>
      </c>
      <c r="U186">
        <f t="shared" si="18"/>
        <v>3.5281266126686646</v>
      </c>
      <c r="W186">
        <f t="shared" si="19"/>
        <v>3.5281266126686646</v>
      </c>
    </row>
    <row r="187" spans="1:23" x14ac:dyDescent="0.25">
      <c r="A187">
        <v>10.4</v>
      </c>
      <c r="B187">
        <f t="shared" si="24"/>
        <v>182</v>
      </c>
      <c r="C187">
        <f t="shared" si="20"/>
        <v>-6.9687929644061031</v>
      </c>
      <c r="D187">
        <f t="shared" si="21"/>
        <v>9.4932620547719893</v>
      </c>
      <c r="E187">
        <f t="shared" si="22"/>
        <v>0.82217370131631562</v>
      </c>
      <c r="F187">
        <f t="shared" si="23"/>
        <v>0.9067379452280111</v>
      </c>
      <c r="G187">
        <f t="shared" si="25"/>
        <v>2.8111632409151222</v>
      </c>
      <c r="H187">
        <f t="shared" si="26"/>
        <v>12.304425295687111</v>
      </c>
      <c r="S187">
        <v>12.81875</v>
      </c>
      <c r="T187">
        <v>12.505554377420289</v>
      </c>
      <c r="U187">
        <f t="shared" si="18"/>
        <v>0.31319562257971079</v>
      </c>
      <c r="W187">
        <f t="shared" si="19"/>
        <v>0.31319562257971079</v>
      </c>
    </row>
    <row r="188" spans="1:23" x14ac:dyDescent="0.25">
      <c r="A188">
        <v>8.2437520000000006</v>
      </c>
      <c r="B188">
        <f t="shared" si="24"/>
        <v>183</v>
      </c>
      <c r="C188">
        <f t="shared" si="20"/>
        <v>-7.0084677263796697</v>
      </c>
      <c r="D188">
        <f t="shared" si="21"/>
        <v>9.4535872927984208</v>
      </c>
      <c r="E188">
        <f t="shared" si="22"/>
        <v>1.463701435700639</v>
      </c>
      <c r="F188">
        <f t="shared" si="23"/>
        <v>-1.2098352927984202</v>
      </c>
      <c r="G188">
        <f t="shared" si="25"/>
        <v>-7.9861157509750591E-2</v>
      </c>
      <c r="H188">
        <f t="shared" si="26"/>
        <v>9.3737261352886705</v>
      </c>
      <c r="S188">
        <v>9.1812509999999996</v>
      </c>
      <c r="T188">
        <v>11.190185015555876</v>
      </c>
      <c r="U188">
        <f t="shared" si="18"/>
        <v>-2.0089340155558766</v>
      </c>
      <c r="W188">
        <f t="shared" si="19"/>
        <v>2.0089340155558766</v>
      </c>
    </row>
    <row r="189" spans="1:23" x14ac:dyDescent="0.25">
      <c r="A189">
        <v>10.25</v>
      </c>
      <c r="B189">
        <f t="shared" si="24"/>
        <v>184</v>
      </c>
      <c r="C189">
        <f t="shared" si="20"/>
        <v>-7.0460657281107881</v>
      </c>
      <c r="D189">
        <f t="shared" si="21"/>
        <v>9.4159892910673033</v>
      </c>
      <c r="E189">
        <f t="shared" si="22"/>
        <v>0.69557386261441934</v>
      </c>
      <c r="F189">
        <f t="shared" si="23"/>
        <v>0.83401070893269669</v>
      </c>
      <c r="G189">
        <f t="shared" si="25"/>
        <v>-0.76862368389278324</v>
      </c>
      <c r="H189">
        <f t="shared" si="26"/>
        <v>8.6473656071745193</v>
      </c>
      <c r="S189">
        <v>7.75</v>
      </c>
      <c r="T189">
        <v>8.5750406642469663</v>
      </c>
      <c r="U189">
        <f t="shared" si="18"/>
        <v>-0.82504066424696632</v>
      </c>
      <c r="W189">
        <f t="shared" si="19"/>
        <v>0.82504066424696632</v>
      </c>
    </row>
    <row r="190" spans="1:23" x14ac:dyDescent="0.25">
      <c r="A190">
        <v>10.893750000000001</v>
      </c>
      <c r="B190">
        <f t="shared" si="24"/>
        <v>185</v>
      </c>
      <c r="C190">
        <f t="shared" si="20"/>
        <v>-7.0815758285001156</v>
      </c>
      <c r="D190">
        <f t="shared" si="21"/>
        <v>9.3804791906779759</v>
      </c>
      <c r="E190">
        <f t="shared" si="22"/>
        <v>2.2899885423461361</v>
      </c>
      <c r="F190">
        <f t="shared" si="23"/>
        <v>1.5132708093220248</v>
      </c>
      <c r="G190">
        <f t="shared" si="25"/>
        <v>1.2265420583806868</v>
      </c>
      <c r="H190">
        <f t="shared" si="26"/>
        <v>10.607021249058663</v>
      </c>
      <c r="S190">
        <v>6.737501</v>
      </c>
      <c r="T190">
        <v>8.4907171443174452</v>
      </c>
      <c r="U190">
        <f t="shared" si="18"/>
        <v>-1.7532161443174452</v>
      </c>
      <c r="W190">
        <f t="shared" si="19"/>
        <v>1.7532161443174452</v>
      </c>
    </row>
    <row r="191" spans="1:23" x14ac:dyDescent="0.25">
      <c r="A191">
        <v>12</v>
      </c>
      <c r="B191">
        <f t="shared" si="24"/>
        <v>186</v>
      </c>
      <c r="C191">
        <f t="shared" si="20"/>
        <v>-7.1149875051385338</v>
      </c>
      <c r="D191">
        <f t="shared" si="21"/>
        <v>9.3470675140395585</v>
      </c>
      <c r="E191">
        <f t="shared" si="22"/>
        <v>7.0380507750642485</v>
      </c>
      <c r="F191">
        <f t="shared" si="23"/>
        <v>2.6529324859604415</v>
      </c>
      <c r="G191">
        <f t="shared" si="25"/>
        <v>0.83691089653946138</v>
      </c>
      <c r="H191">
        <f t="shared" si="26"/>
        <v>10.183978410579019</v>
      </c>
      <c r="S191">
        <v>8.643751</v>
      </c>
      <c r="T191">
        <v>7.5564230465709681</v>
      </c>
      <c r="U191">
        <f t="shared" si="18"/>
        <v>1.0873279534290319</v>
      </c>
      <c r="W191">
        <f t="shared" si="19"/>
        <v>1.0873279534290319</v>
      </c>
    </row>
    <row r="192" spans="1:23" x14ac:dyDescent="0.25">
      <c r="A192">
        <v>10.3375</v>
      </c>
      <c r="B192">
        <f t="shared" si="24"/>
        <v>187</v>
      </c>
      <c r="C192">
        <f t="shared" si="20"/>
        <v>-7.1462908574251731</v>
      </c>
      <c r="D192">
        <f t="shared" si="21"/>
        <v>9.3157641617529183</v>
      </c>
      <c r="E192">
        <f t="shared" si="22"/>
        <v>1.0439441231584674</v>
      </c>
      <c r="F192">
        <f t="shared" si="23"/>
        <v>1.021735838247082</v>
      </c>
      <c r="G192">
        <f t="shared" si="25"/>
        <v>1.8825156586396035</v>
      </c>
      <c r="H192">
        <f t="shared" si="26"/>
        <v>11.198279820392521</v>
      </c>
      <c r="S192">
        <v>6.8875000000000002</v>
      </c>
      <c r="T192">
        <v>9.2818929957179552</v>
      </c>
      <c r="U192">
        <f t="shared" si="18"/>
        <v>-2.3943929957179551</v>
      </c>
      <c r="W192">
        <f t="shared" si="19"/>
        <v>2.3943929957179551</v>
      </c>
    </row>
    <row r="193" spans="1:23" x14ac:dyDescent="0.25">
      <c r="A193">
        <v>13.05</v>
      </c>
      <c r="B193">
        <f t="shared" si="24"/>
        <v>188</v>
      </c>
      <c r="C193">
        <f t="shared" si="20"/>
        <v>-7.1754766095011693</v>
      </c>
      <c r="D193">
        <f t="shared" si="21"/>
        <v>9.2865784096769222</v>
      </c>
      <c r="E193">
        <f t="shared" si="22"/>
        <v>14.163342066509889</v>
      </c>
      <c r="F193">
        <f t="shared" si="23"/>
        <v>3.7634215903230785</v>
      </c>
      <c r="G193">
        <f t="shared" si="25"/>
        <v>0.23529497765441401</v>
      </c>
      <c r="H193">
        <f t="shared" si="26"/>
        <v>9.5218733873313361</v>
      </c>
      <c r="S193">
        <v>5.9375</v>
      </c>
      <c r="T193">
        <v>7.0325397128650309</v>
      </c>
      <c r="U193">
        <f t="shared" si="18"/>
        <v>-1.0950397128650309</v>
      </c>
      <c r="W193">
        <f t="shared" si="19"/>
        <v>1.0950397128650309</v>
      </c>
    </row>
    <row r="194" spans="1:23" x14ac:dyDescent="0.25">
      <c r="A194">
        <v>12.81875</v>
      </c>
      <c r="B194">
        <f t="shared" si="24"/>
        <v>189</v>
      </c>
      <c r="C194">
        <f t="shared" si="20"/>
        <v>-7.2025361129983017</v>
      </c>
      <c r="D194">
        <f t="shared" si="21"/>
        <v>9.2595189061797889</v>
      </c>
      <c r="E194">
        <f t="shared" si="22"/>
        <v>12.668125979216613</v>
      </c>
      <c r="F194">
        <f t="shared" si="23"/>
        <v>3.5592310938202107</v>
      </c>
      <c r="G194">
        <f t="shared" si="25"/>
        <v>3.2460354712404995</v>
      </c>
      <c r="H194">
        <f t="shared" si="26"/>
        <v>12.505554377420289</v>
      </c>
      <c r="S194">
        <v>7.831251</v>
      </c>
      <c r="T194">
        <v>7.0674660411669326</v>
      </c>
      <c r="U194">
        <f t="shared" si="18"/>
        <v>0.76378495883306741</v>
      </c>
      <c r="W194">
        <f t="shared" si="19"/>
        <v>0.76378495883306741</v>
      </c>
    </row>
    <row r="195" spans="1:23" x14ac:dyDescent="0.25">
      <c r="A195">
        <v>9.1812509999999996</v>
      </c>
      <c r="B195">
        <f t="shared" si="24"/>
        <v>190</v>
      </c>
      <c r="C195">
        <f t="shared" si="20"/>
        <v>-7.2274613496016924</v>
      </c>
      <c r="D195">
        <f t="shared" si="21"/>
        <v>9.2345936695763982</v>
      </c>
      <c r="E195">
        <f t="shared" si="22"/>
        <v>2.8454403975368353E-3</v>
      </c>
      <c r="F195">
        <f t="shared" si="23"/>
        <v>-5.3342669576398549E-2</v>
      </c>
      <c r="G195">
        <f t="shared" si="25"/>
        <v>1.955591345979478</v>
      </c>
      <c r="H195">
        <f t="shared" si="26"/>
        <v>11.190185015555876</v>
      </c>
      <c r="S195">
        <v>9.5250020000000006</v>
      </c>
      <c r="T195">
        <v>8.7169708408411086</v>
      </c>
      <c r="U195">
        <f t="shared" ref="U195:U258" si="27">S195-T195</f>
        <v>0.80803115915889201</v>
      </c>
      <c r="W195">
        <f t="shared" ref="W195:W258" si="28">ABS(U195)</f>
        <v>0.80803115915889201</v>
      </c>
    </row>
    <row r="196" spans="1:23" x14ac:dyDescent="0.25">
      <c r="A196">
        <v>7.75</v>
      </c>
      <c r="B196">
        <f t="shared" si="24"/>
        <v>191</v>
      </c>
      <c r="C196">
        <f t="shared" si="20"/>
        <v>-7.2502449334258063</v>
      </c>
      <c r="D196">
        <f t="shared" si="21"/>
        <v>9.2118100857522851</v>
      </c>
      <c r="E196">
        <f t="shared" si="22"/>
        <v>2.1368887268071033</v>
      </c>
      <c r="F196">
        <f t="shared" si="23"/>
        <v>-1.4618100857522851</v>
      </c>
      <c r="G196">
        <f t="shared" si="25"/>
        <v>-0.63676942150531879</v>
      </c>
      <c r="H196">
        <f t="shared" si="26"/>
        <v>8.5750406642469663</v>
      </c>
      <c r="S196">
        <v>12.762499999999999</v>
      </c>
      <c r="T196">
        <v>9.4036734722449626</v>
      </c>
      <c r="U196">
        <f t="shared" si="27"/>
        <v>3.3588265277550367</v>
      </c>
      <c r="W196">
        <f t="shared" si="28"/>
        <v>3.3588265277550367</v>
      </c>
    </row>
    <row r="197" spans="1:23" x14ac:dyDescent="0.25">
      <c r="A197">
        <v>6.737501</v>
      </c>
      <c r="B197">
        <f t="shared" si="24"/>
        <v>192</v>
      </c>
      <c r="C197">
        <f t="shared" si="20"/>
        <v>-7.2708801132030452</v>
      </c>
      <c r="D197">
        <f t="shared" si="21"/>
        <v>9.1911749059750463</v>
      </c>
      <c r="E197">
        <f t="shared" si="22"/>
        <v>6.0205156368628403</v>
      </c>
      <c r="F197">
        <f t="shared" si="23"/>
        <v>-2.4536739059750463</v>
      </c>
      <c r="G197">
        <f t="shared" si="25"/>
        <v>-0.70045776165760076</v>
      </c>
      <c r="H197">
        <f t="shared" si="26"/>
        <v>8.4907171443174452</v>
      </c>
      <c r="S197">
        <v>9.5437510000000003</v>
      </c>
      <c r="T197">
        <v>11.877640169015951</v>
      </c>
      <c r="U197">
        <f t="shared" si="27"/>
        <v>-2.3338891690159507</v>
      </c>
      <c r="W197">
        <f t="shared" si="28"/>
        <v>2.3338891690159507</v>
      </c>
    </row>
    <row r="198" spans="1:23" x14ac:dyDescent="0.25">
      <c r="A198">
        <v>8.643751</v>
      </c>
      <c r="B198">
        <f t="shared" si="24"/>
        <v>193</v>
      </c>
      <c r="C198">
        <f t="shared" si="20"/>
        <v>-7.2893607742842956</v>
      </c>
      <c r="D198">
        <f t="shared" si="21"/>
        <v>9.1726942448937958</v>
      </c>
      <c r="E198">
        <f t="shared" si="22"/>
        <v>0.27978095631877808</v>
      </c>
      <c r="F198">
        <f t="shared" si="23"/>
        <v>-0.52894324489379585</v>
      </c>
      <c r="G198">
        <f t="shared" si="25"/>
        <v>-1.6162711983228282</v>
      </c>
      <c r="H198">
        <f t="shared" si="26"/>
        <v>7.5564230465709681</v>
      </c>
      <c r="S198">
        <v>6.3250000000000002</v>
      </c>
      <c r="T198">
        <v>8.3621644423744286</v>
      </c>
      <c r="U198">
        <f t="shared" si="27"/>
        <v>-2.0371644423744284</v>
      </c>
      <c r="W198">
        <f t="shared" si="28"/>
        <v>2.0371644423744284</v>
      </c>
    </row>
    <row r="199" spans="1:23" x14ac:dyDescent="0.25">
      <c r="A199">
        <v>6.8875000000000002</v>
      </c>
      <c r="B199">
        <f t="shared" si="24"/>
        <v>194</v>
      </c>
      <c r="C199">
        <f t="shared" ref="C199:C262" si="29">C$2*COS(C$1*B199)+C$3*SIN(C$1*B199)</f>
        <v>-7.3056814404508357</v>
      </c>
      <c r="D199">
        <f t="shared" ref="D199:D262" si="30">$A$2+C199</f>
        <v>9.1563735787272549</v>
      </c>
      <c r="E199">
        <f t="shared" ref="E199:E262" si="31">(A199-D199)^2</f>
        <v>5.1477873162466201</v>
      </c>
      <c r="F199">
        <f t="shared" ref="F199:F262" si="32">A199-D199</f>
        <v>-2.2688735787272547</v>
      </c>
      <c r="G199">
        <f t="shared" si="25"/>
        <v>0.1255194169907009</v>
      </c>
      <c r="H199">
        <f t="shared" si="26"/>
        <v>9.2818929957179552</v>
      </c>
      <c r="S199">
        <v>10.612500000000001</v>
      </c>
      <c r="T199">
        <v>7.1434627252894209</v>
      </c>
      <c r="U199">
        <f t="shared" si="27"/>
        <v>3.4690372747105798</v>
      </c>
      <c r="W199">
        <f t="shared" si="28"/>
        <v>3.4690372747105798</v>
      </c>
    </row>
    <row r="200" spans="1:23" x14ac:dyDescent="0.25">
      <c r="A200">
        <v>5.9375</v>
      </c>
      <c r="B200">
        <f t="shared" ref="B200:B263" si="33">B199+1</f>
        <v>195</v>
      </c>
      <c r="C200">
        <f t="shared" si="29"/>
        <v>-7.3198372755370524</v>
      </c>
      <c r="D200">
        <f t="shared" si="30"/>
        <v>9.142217743641039</v>
      </c>
      <c r="E200">
        <f t="shared" si="31"/>
        <v>10.270215816407712</v>
      </c>
      <c r="F200">
        <f t="shared" si="32"/>
        <v>-3.204717743641039</v>
      </c>
      <c r="G200">
        <f t="shared" si="25"/>
        <v>-2.1096780307760081</v>
      </c>
      <c r="H200">
        <f t="shared" si="26"/>
        <v>7.0325397128650309</v>
      </c>
      <c r="S200">
        <v>10.106249999999999</v>
      </c>
      <c r="T200">
        <v>11.337011604007209</v>
      </c>
      <c r="U200">
        <f t="shared" si="27"/>
        <v>-1.2307616040072098</v>
      </c>
      <c r="W200">
        <f t="shared" si="28"/>
        <v>1.2307616040072098</v>
      </c>
    </row>
    <row r="201" spans="1:23" x14ac:dyDescent="0.25">
      <c r="A201">
        <v>7.831251</v>
      </c>
      <c r="B201">
        <f t="shared" si="33"/>
        <v>196</v>
      </c>
      <c r="C201">
        <f t="shared" si="29"/>
        <v>-7.3318240848635012</v>
      </c>
      <c r="D201">
        <f t="shared" si="30"/>
        <v>9.1302309343145893</v>
      </c>
      <c r="E201">
        <f t="shared" si="31"/>
        <v>1.687348869751935</v>
      </c>
      <c r="F201">
        <f t="shared" si="32"/>
        <v>-1.2989799343145894</v>
      </c>
      <c r="G201">
        <f t="shared" si="25"/>
        <v>-2.0627648931476568</v>
      </c>
      <c r="H201">
        <f t="shared" si="26"/>
        <v>7.0674660411669326</v>
      </c>
      <c r="S201">
        <v>10.375</v>
      </c>
      <c r="T201">
        <v>9.0656317686427847</v>
      </c>
      <c r="U201">
        <f t="shared" si="27"/>
        <v>1.3093682313572153</v>
      </c>
      <c r="W201">
        <f t="shared" si="28"/>
        <v>1.3093682313572153</v>
      </c>
    </row>
    <row r="202" spans="1:23" x14ac:dyDescent="0.25">
      <c r="A202">
        <v>9.5250020000000006</v>
      </c>
      <c r="B202">
        <f t="shared" si="33"/>
        <v>197</v>
      </c>
      <c r="C202">
        <f t="shared" si="29"/>
        <v>-7.3416383164798811</v>
      </c>
      <c r="D202">
        <f t="shared" si="30"/>
        <v>9.1204167026982113</v>
      </c>
      <c r="E202">
        <f t="shared" si="31"/>
        <v>0.16368926279277729</v>
      </c>
      <c r="F202">
        <f t="shared" si="32"/>
        <v>0.40458529730178938</v>
      </c>
      <c r="G202">
        <f t="shared" ref="G202:G265" si="34">$J$3*F201+$J$4*F200+$J$5*F199</f>
        <v>-0.40344586185710235</v>
      </c>
      <c r="H202">
        <f t="shared" ref="H202:H265" si="35">D202+G202</f>
        <v>8.7169708408411086</v>
      </c>
      <c r="S202">
        <v>11.706250000000001</v>
      </c>
      <c r="T202">
        <v>10.085100120634173</v>
      </c>
      <c r="U202">
        <f t="shared" si="27"/>
        <v>1.6211498793658272</v>
      </c>
      <c r="W202">
        <f t="shared" si="28"/>
        <v>1.6211498793658272</v>
      </c>
    </row>
    <row r="203" spans="1:23" x14ac:dyDescent="0.25">
      <c r="A203">
        <v>12.762499999999999</v>
      </c>
      <c r="B203">
        <f t="shared" si="33"/>
        <v>198</v>
      </c>
      <c r="C203">
        <f t="shared" si="29"/>
        <v>-7.3492770622175563</v>
      </c>
      <c r="D203">
        <f t="shared" si="30"/>
        <v>9.1127779569605352</v>
      </c>
      <c r="E203">
        <f t="shared" si="31"/>
        <v>13.320470991448159</v>
      </c>
      <c r="F203">
        <f t="shared" si="32"/>
        <v>3.6497220430394641</v>
      </c>
      <c r="G203">
        <f t="shared" si="34"/>
        <v>0.29089551528442781</v>
      </c>
      <c r="H203">
        <f t="shared" si="35"/>
        <v>9.4036734722449626</v>
      </c>
      <c r="S203">
        <v>14.375</v>
      </c>
      <c r="T203">
        <v>11.055884944659461</v>
      </c>
      <c r="U203">
        <f t="shared" si="27"/>
        <v>3.3191150553405393</v>
      </c>
      <c r="W203">
        <f t="shared" si="28"/>
        <v>3.3191150553405393</v>
      </c>
    </row>
    <row r="204" spans="1:23" x14ac:dyDescent="0.25">
      <c r="A204">
        <v>9.5437510000000003</v>
      </c>
      <c r="B204">
        <f t="shared" si="33"/>
        <v>199</v>
      </c>
      <c r="C204">
        <f t="shared" si="29"/>
        <v>-7.3547380585513062</v>
      </c>
      <c r="D204">
        <f t="shared" si="30"/>
        <v>9.1073169606267861</v>
      </c>
      <c r="E204">
        <f t="shared" si="31"/>
        <v>0.19047467072362032</v>
      </c>
      <c r="F204">
        <f t="shared" si="32"/>
        <v>0.43643403937321423</v>
      </c>
      <c r="G204">
        <f t="shared" si="34"/>
        <v>2.7703232083891653</v>
      </c>
      <c r="H204">
        <f t="shared" si="35"/>
        <v>11.877640169015951</v>
      </c>
      <c r="S204">
        <v>13.0625</v>
      </c>
      <c r="T204">
        <v>12.932193210116631</v>
      </c>
      <c r="U204">
        <f t="shared" si="27"/>
        <v>0.13030678988336852</v>
      </c>
      <c r="W204">
        <f t="shared" si="28"/>
        <v>0.13030678988336852</v>
      </c>
    </row>
    <row r="205" spans="1:23" x14ac:dyDescent="0.25">
      <c r="A205">
        <v>6.3250000000000002</v>
      </c>
      <c r="B205">
        <f t="shared" si="33"/>
        <v>200</v>
      </c>
      <c r="C205">
        <f t="shared" si="29"/>
        <v>-7.3580196872700618</v>
      </c>
      <c r="D205">
        <f t="shared" si="30"/>
        <v>9.1040353319080296</v>
      </c>
      <c r="E205">
        <f t="shared" si="31"/>
        <v>7.7230373759931714</v>
      </c>
      <c r="F205">
        <f t="shared" si="32"/>
        <v>-2.7790353319080294</v>
      </c>
      <c r="G205">
        <f t="shared" si="34"/>
        <v>-0.74187088953360159</v>
      </c>
      <c r="H205">
        <f t="shared" si="35"/>
        <v>8.3621644423744286</v>
      </c>
      <c r="S205">
        <v>8.8812499999999996</v>
      </c>
      <c r="T205">
        <v>11.164981050365967</v>
      </c>
      <c r="U205">
        <f t="shared" si="27"/>
        <v>-2.2837310503659669</v>
      </c>
      <c r="W205">
        <f t="shared" si="28"/>
        <v>2.2837310503659669</v>
      </c>
    </row>
    <row r="206" spans="1:23" x14ac:dyDescent="0.25">
      <c r="A206">
        <v>10.612500000000001</v>
      </c>
      <c r="B206">
        <f t="shared" si="33"/>
        <v>201</v>
      </c>
      <c r="C206">
        <f t="shared" si="29"/>
        <v>-7.359120975956408</v>
      </c>
      <c r="D206">
        <f t="shared" si="30"/>
        <v>9.1029340432216834</v>
      </c>
      <c r="E206">
        <f t="shared" si="31"/>
        <v>2.2787893778640367</v>
      </c>
      <c r="F206">
        <f t="shared" si="32"/>
        <v>1.5095659567783173</v>
      </c>
      <c r="G206">
        <f t="shared" si="34"/>
        <v>-1.959471317932262</v>
      </c>
      <c r="H206">
        <f t="shared" si="35"/>
        <v>7.1434627252894209</v>
      </c>
      <c r="S206">
        <v>9.1937510000000007</v>
      </c>
      <c r="T206">
        <v>8.4419900131350225</v>
      </c>
      <c r="U206">
        <f t="shared" si="27"/>
        <v>0.75176098686497816</v>
      </c>
      <c r="W206">
        <f t="shared" si="28"/>
        <v>0.75176098686497816</v>
      </c>
    </row>
    <row r="207" spans="1:23" x14ac:dyDescent="0.25">
      <c r="A207">
        <v>10.106249999999999</v>
      </c>
      <c r="B207">
        <f t="shared" si="33"/>
        <v>202</v>
      </c>
      <c r="C207">
        <f t="shared" si="29"/>
        <v>-7.3580415982747391</v>
      </c>
      <c r="D207">
        <f t="shared" si="30"/>
        <v>9.1040134209033532</v>
      </c>
      <c r="E207">
        <f t="shared" si="31"/>
        <v>1.0044781604793478</v>
      </c>
      <c r="F207">
        <f t="shared" si="32"/>
        <v>1.0022365790966461</v>
      </c>
      <c r="G207">
        <f t="shared" si="34"/>
        <v>2.232998183103855</v>
      </c>
      <c r="H207">
        <f t="shared" si="35"/>
        <v>11.337011604007209</v>
      </c>
      <c r="S207">
        <v>11.19375</v>
      </c>
      <c r="T207">
        <v>9.8624635325860126</v>
      </c>
      <c r="U207">
        <f t="shared" si="27"/>
        <v>1.331286467413987</v>
      </c>
      <c r="W207">
        <f t="shared" si="28"/>
        <v>1.331286467413987</v>
      </c>
    </row>
    <row r="208" spans="1:23" x14ac:dyDescent="0.25">
      <c r="A208">
        <v>10.375</v>
      </c>
      <c r="B208">
        <f t="shared" si="33"/>
        <v>203</v>
      </c>
      <c r="C208">
        <f t="shared" si="29"/>
        <v>-7.3547818740679585</v>
      </c>
      <c r="D208">
        <f t="shared" si="30"/>
        <v>9.107273145110133</v>
      </c>
      <c r="E208">
        <f t="shared" si="31"/>
        <v>1.6071313786089541</v>
      </c>
      <c r="F208">
        <f t="shared" si="32"/>
        <v>1.267726854889867</v>
      </c>
      <c r="G208">
        <f t="shared" si="34"/>
        <v>-4.1641376467348834E-2</v>
      </c>
      <c r="H208">
        <f t="shared" si="35"/>
        <v>9.0656317686427847</v>
      </c>
      <c r="S208">
        <v>9.1875020000000003</v>
      </c>
      <c r="T208">
        <v>10.85200800114546</v>
      </c>
      <c r="U208">
        <f t="shared" si="27"/>
        <v>-1.66450600114546</v>
      </c>
      <c r="W208">
        <f t="shared" si="28"/>
        <v>1.66450600114546</v>
      </c>
    </row>
    <row r="209" spans="1:23" x14ac:dyDescent="0.25">
      <c r="A209">
        <v>11.706250000000001</v>
      </c>
      <c r="B209">
        <f t="shared" si="33"/>
        <v>204</v>
      </c>
      <c r="C209">
        <f t="shared" si="29"/>
        <v>-7.3493427692626989</v>
      </c>
      <c r="D209">
        <f t="shared" si="30"/>
        <v>9.1127122499153934</v>
      </c>
      <c r="E209">
        <f t="shared" si="31"/>
        <v>6.7264380611139272</v>
      </c>
      <c r="F209">
        <f t="shared" si="32"/>
        <v>2.5935377500846073</v>
      </c>
      <c r="G209">
        <f t="shared" si="34"/>
        <v>0.97238787071877919</v>
      </c>
      <c r="H209">
        <f t="shared" si="35"/>
        <v>10.085100120634173</v>
      </c>
      <c r="S209">
        <v>10.06875</v>
      </c>
      <c r="T209">
        <v>8.5659234288959638</v>
      </c>
      <c r="U209">
        <f t="shared" si="27"/>
        <v>1.5028265711040358</v>
      </c>
      <c r="W209">
        <f t="shared" si="28"/>
        <v>1.5028265711040358</v>
      </c>
    </row>
    <row r="210" spans="1:23" x14ac:dyDescent="0.25">
      <c r="A210">
        <v>14.375</v>
      </c>
      <c r="B210">
        <f t="shared" si="33"/>
        <v>205</v>
      </c>
      <c r="C210">
        <f t="shared" si="29"/>
        <v>-7.3417258955830995</v>
      </c>
      <c r="D210">
        <f t="shared" si="30"/>
        <v>9.1203291235949919</v>
      </c>
      <c r="E210">
        <f t="shared" si="31"/>
        <v>27.611566019338976</v>
      </c>
      <c r="F210">
        <f t="shared" si="32"/>
        <v>5.2546708764050081</v>
      </c>
      <c r="G210">
        <f t="shared" si="34"/>
        <v>1.9355558210644683</v>
      </c>
      <c r="H210">
        <f t="shared" si="35"/>
        <v>11.055884944659461</v>
      </c>
      <c r="S210">
        <v>11</v>
      </c>
      <c r="T210">
        <v>10.256440683329938</v>
      </c>
      <c r="U210">
        <f t="shared" si="27"/>
        <v>0.74355931667006203</v>
      </c>
      <c r="W210">
        <f t="shared" si="28"/>
        <v>0.74355931667006203</v>
      </c>
    </row>
    <row r="211" spans="1:23" x14ac:dyDescent="0.25">
      <c r="A211">
        <v>13.0625</v>
      </c>
      <c r="B211">
        <f t="shared" si="33"/>
        <v>206</v>
      </c>
      <c r="C211">
        <f t="shared" si="29"/>
        <v>-7.3319335100732159</v>
      </c>
      <c r="D211">
        <f t="shared" si="30"/>
        <v>9.1301215091048746</v>
      </c>
      <c r="E211">
        <f t="shared" si="31"/>
        <v>15.463600595654624</v>
      </c>
      <c r="F211">
        <f t="shared" si="32"/>
        <v>3.9323784908951254</v>
      </c>
      <c r="G211">
        <f t="shared" si="34"/>
        <v>3.8020717010117568</v>
      </c>
      <c r="H211">
        <f t="shared" si="35"/>
        <v>12.932193210116631</v>
      </c>
      <c r="S211">
        <v>10.21875</v>
      </c>
      <c r="T211">
        <v>10.478655197265077</v>
      </c>
      <c r="U211">
        <f t="shared" si="27"/>
        <v>-0.25990519726507699</v>
      </c>
      <c r="W211">
        <f t="shared" si="28"/>
        <v>0.25990519726507699</v>
      </c>
    </row>
    <row r="212" spans="1:23" x14ac:dyDescent="0.25">
      <c r="A212">
        <v>8.8812499999999996</v>
      </c>
      <c r="B212">
        <f t="shared" si="33"/>
        <v>207</v>
      </c>
      <c r="C212">
        <f t="shared" si="29"/>
        <v>-7.3199685144282132</v>
      </c>
      <c r="D212">
        <f t="shared" si="30"/>
        <v>9.1420865047498783</v>
      </c>
      <c r="E212">
        <f t="shared" si="31"/>
        <v>6.8035682210133452E-2</v>
      </c>
      <c r="F212">
        <f t="shared" si="32"/>
        <v>-0.26083650474987863</v>
      </c>
      <c r="G212">
        <f t="shared" si="34"/>
        <v>2.0228945456160883</v>
      </c>
      <c r="H212">
        <f t="shared" si="35"/>
        <v>11.164981050365967</v>
      </c>
      <c r="S212">
        <v>9.8562519999999996</v>
      </c>
      <c r="T212">
        <v>9.6575901265213417</v>
      </c>
      <c r="U212">
        <f t="shared" si="27"/>
        <v>0.19866187347865782</v>
      </c>
      <c r="W212">
        <f t="shared" si="28"/>
        <v>0.19866187347865782</v>
      </c>
    </row>
    <row r="213" spans="1:23" x14ac:dyDescent="0.25">
      <c r="A213">
        <v>9.1937510000000007</v>
      </c>
      <c r="B213">
        <f t="shared" si="33"/>
        <v>208</v>
      </c>
      <c r="C213">
        <f t="shared" si="29"/>
        <v>-7.3058344541345273</v>
      </c>
      <c r="D213">
        <f t="shared" si="30"/>
        <v>9.1562205650435651</v>
      </c>
      <c r="E213">
        <f t="shared" si="31"/>
        <v>1.4085335480192431E-3</v>
      </c>
      <c r="F213">
        <f t="shared" si="32"/>
        <v>3.7530434956435599E-2</v>
      </c>
      <c r="G213">
        <f t="shared" si="34"/>
        <v>-0.71423055190854223</v>
      </c>
      <c r="H213">
        <f t="shared" si="35"/>
        <v>8.4419900131350225</v>
      </c>
      <c r="S213">
        <v>10.9125</v>
      </c>
      <c r="T213">
        <v>9.7482368971593214</v>
      </c>
      <c r="U213">
        <f t="shared" si="27"/>
        <v>1.1642631028406782</v>
      </c>
      <c r="W213">
        <f t="shared" si="28"/>
        <v>1.1642631028406782</v>
      </c>
    </row>
    <row r="214" spans="1:23" x14ac:dyDescent="0.25">
      <c r="A214">
        <v>11.19375</v>
      </c>
      <c r="B214">
        <f t="shared" si="33"/>
        <v>209</v>
      </c>
      <c r="C214">
        <f t="shared" si="29"/>
        <v>-7.2895355174192593</v>
      </c>
      <c r="D214">
        <f t="shared" si="30"/>
        <v>9.1725195017588312</v>
      </c>
      <c r="E214">
        <f t="shared" si="31"/>
        <v>4.0853727270202418</v>
      </c>
      <c r="F214">
        <f t="shared" si="32"/>
        <v>2.0212304982411684</v>
      </c>
      <c r="G214">
        <f t="shared" si="34"/>
        <v>0.68994403082718225</v>
      </c>
      <c r="H214">
        <f t="shared" si="35"/>
        <v>9.8624635325860126</v>
      </c>
      <c r="S214">
        <v>9.6000010000000007</v>
      </c>
      <c r="T214">
        <v>10.656193130679563</v>
      </c>
      <c r="U214">
        <f t="shared" si="27"/>
        <v>-1.0561921306795625</v>
      </c>
      <c r="W214">
        <f t="shared" si="28"/>
        <v>1.0561921306795625</v>
      </c>
    </row>
    <row r="215" spans="1:23" x14ac:dyDescent="0.25">
      <c r="A215">
        <v>9.1875020000000003</v>
      </c>
      <c r="B215">
        <f t="shared" si="33"/>
        <v>210</v>
      </c>
      <c r="C215">
        <f t="shared" si="29"/>
        <v>-7.2710765340091186</v>
      </c>
      <c r="D215">
        <f t="shared" si="30"/>
        <v>9.1909784851689729</v>
      </c>
      <c r="E215">
        <f t="shared" si="31"/>
        <v>1.2085949130086359E-5</v>
      </c>
      <c r="F215">
        <f t="shared" si="32"/>
        <v>-3.4764851689725873E-3</v>
      </c>
      <c r="G215">
        <f t="shared" si="34"/>
        <v>1.6610295159764872</v>
      </c>
      <c r="H215">
        <f t="shared" si="35"/>
        <v>10.85200800114546</v>
      </c>
      <c r="S215">
        <v>8.7875010000000007</v>
      </c>
      <c r="T215">
        <v>9.1656416501827831</v>
      </c>
      <c r="U215">
        <f t="shared" si="27"/>
        <v>-0.37814065018278242</v>
      </c>
      <c r="W215">
        <f t="shared" si="28"/>
        <v>0.37814065018278242</v>
      </c>
    </row>
    <row r="216" spans="1:23" x14ac:dyDescent="0.25">
      <c r="A216">
        <v>10.06875</v>
      </c>
      <c r="B216">
        <f t="shared" si="33"/>
        <v>211</v>
      </c>
      <c r="C216">
        <f t="shared" si="29"/>
        <v>-7.2504629736992676</v>
      </c>
      <c r="D216">
        <f t="shared" si="30"/>
        <v>9.2115920454788238</v>
      </c>
      <c r="E216">
        <f t="shared" si="31"/>
        <v>0.73471975899892616</v>
      </c>
      <c r="F216">
        <f t="shared" si="32"/>
        <v>0.85715795452117582</v>
      </c>
      <c r="G216">
        <f t="shared" si="34"/>
        <v>-0.64566861658285957</v>
      </c>
      <c r="H216">
        <f t="shared" si="35"/>
        <v>8.5659234288959638</v>
      </c>
      <c r="S216">
        <v>10.112500000000001</v>
      </c>
      <c r="T216">
        <v>9.0660073000905097</v>
      </c>
      <c r="U216">
        <f t="shared" si="27"/>
        <v>1.046492699909491</v>
      </c>
      <c r="W216">
        <f t="shared" si="28"/>
        <v>1.046492699909491</v>
      </c>
    </row>
    <row r="217" spans="1:23" x14ac:dyDescent="0.25">
      <c r="A217">
        <v>11</v>
      </c>
      <c r="B217">
        <f t="shared" si="33"/>
        <v>212</v>
      </c>
      <c r="C217">
        <f t="shared" si="29"/>
        <v>-7.2277009447325034</v>
      </c>
      <c r="D217">
        <f t="shared" si="30"/>
        <v>9.2343540744455872</v>
      </c>
      <c r="E217">
        <f t="shared" si="31"/>
        <v>3.1175055344268991</v>
      </c>
      <c r="F217">
        <f t="shared" si="32"/>
        <v>1.7656459255544128</v>
      </c>
      <c r="G217">
        <f t="shared" si="34"/>
        <v>1.0220866088843517</v>
      </c>
      <c r="H217">
        <f t="shared" si="35"/>
        <v>10.256440683329938</v>
      </c>
      <c r="S217">
        <v>7.46875</v>
      </c>
      <c r="T217">
        <v>10.270234161126005</v>
      </c>
      <c r="U217">
        <f t="shared" si="27"/>
        <v>-2.8014841611260053</v>
      </c>
      <c r="W217">
        <f t="shared" si="28"/>
        <v>2.8014841611260053</v>
      </c>
    </row>
    <row r="218" spans="1:23" x14ac:dyDescent="0.25">
      <c r="A218">
        <v>10.21875</v>
      </c>
      <c r="B218">
        <f t="shared" si="33"/>
        <v>213</v>
      </c>
      <c r="C218">
        <f t="shared" si="29"/>
        <v>-7.2027971919892524</v>
      </c>
      <c r="D218">
        <f t="shared" si="30"/>
        <v>9.2592578271888399</v>
      </c>
      <c r="E218">
        <f t="shared" si="31"/>
        <v>0.92062522968588101</v>
      </c>
      <c r="F218">
        <f t="shared" si="32"/>
        <v>0.95949217281116006</v>
      </c>
      <c r="G218">
        <f t="shared" si="34"/>
        <v>1.2193973700762379</v>
      </c>
      <c r="H218">
        <f t="shared" si="35"/>
        <v>10.478655197265077</v>
      </c>
      <c r="S218">
        <v>8.3312500000000007</v>
      </c>
      <c r="T218">
        <v>7.5027461663550126</v>
      </c>
      <c r="U218">
        <f t="shared" si="27"/>
        <v>0.82850383364498814</v>
      </c>
      <c r="W218">
        <f t="shared" si="28"/>
        <v>0.82850383364498814</v>
      </c>
    </row>
    <row r="219" spans="1:23" x14ac:dyDescent="0.25">
      <c r="A219">
        <v>9.8562519999999996</v>
      </c>
      <c r="B219">
        <f t="shared" si="33"/>
        <v>214</v>
      </c>
      <c r="C219">
        <f t="shared" si="29"/>
        <v>-7.1757590949889209</v>
      </c>
      <c r="D219">
        <f t="shared" si="30"/>
        <v>9.2862959241891705</v>
      </c>
      <c r="E219">
        <f t="shared" si="31"/>
        <v>0.32484992835367954</v>
      </c>
      <c r="F219">
        <f t="shared" si="32"/>
        <v>0.56995607581082908</v>
      </c>
      <c r="G219">
        <f t="shared" si="34"/>
        <v>0.3712942023321717</v>
      </c>
      <c r="H219">
        <f t="shared" si="35"/>
        <v>9.6575901265213417</v>
      </c>
      <c r="S219">
        <v>12.237500000000001</v>
      </c>
      <c r="T219">
        <v>9.2893857022860775</v>
      </c>
      <c r="U219">
        <f t="shared" si="27"/>
        <v>2.9481142977139232</v>
      </c>
      <c r="W219">
        <f t="shared" si="28"/>
        <v>2.9481142977139232</v>
      </c>
    </row>
    <row r="220" spans="1:23" x14ac:dyDescent="0.25">
      <c r="A220">
        <v>10.9125</v>
      </c>
      <c r="B220">
        <f t="shared" si="33"/>
        <v>215</v>
      </c>
      <c r="C220">
        <f t="shared" si="29"/>
        <v>-7.1465946657031783</v>
      </c>
      <c r="D220">
        <f t="shared" si="30"/>
        <v>9.3154603534749132</v>
      </c>
      <c r="E220">
        <f t="shared" si="31"/>
        <v>2.5505356325729731</v>
      </c>
      <c r="F220">
        <f t="shared" si="32"/>
        <v>1.5970396465250865</v>
      </c>
      <c r="G220">
        <f t="shared" si="34"/>
        <v>0.43277654368440865</v>
      </c>
      <c r="H220">
        <f t="shared" si="35"/>
        <v>9.7482368971593214</v>
      </c>
      <c r="S220">
        <v>8.7937510000000003</v>
      </c>
      <c r="T220">
        <v>11.949240807830078</v>
      </c>
      <c r="U220">
        <f t="shared" si="27"/>
        <v>-3.1554898078300777</v>
      </c>
      <c r="W220">
        <f t="shared" si="28"/>
        <v>3.1554898078300777</v>
      </c>
    </row>
    <row r="221" spans="1:23" x14ac:dyDescent="0.25">
      <c r="A221">
        <v>9.6000010000000007</v>
      </c>
      <c r="B221">
        <f t="shared" si="33"/>
        <v>216</v>
      </c>
      <c r="C221">
        <f t="shared" si="29"/>
        <v>-7.1153125461818432</v>
      </c>
      <c r="D221">
        <f t="shared" si="30"/>
        <v>9.3467424729962474</v>
      </c>
      <c r="E221">
        <f t="shared" si="31"/>
        <v>6.4139881500110837E-2</v>
      </c>
      <c r="F221">
        <f t="shared" si="32"/>
        <v>0.25325852700375329</v>
      </c>
      <c r="G221">
        <f t="shared" si="34"/>
        <v>1.309450657683316</v>
      </c>
      <c r="H221">
        <f t="shared" si="35"/>
        <v>10.656193130679563</v>
      </c>
      <c r="S221">
        <v>7.3187499999999996</v>
      </c>
      <c r="T221">
        <v>7.923380037318533</v>
      </c>
      <c r="U221">
        <f t="shared" si="27"/>
        <v>-0.60463003731853338</v>
      </c>
      <c r="W221">
        <f t="shared" si="28"/>
        <v>0.60463003731853338</v>
      </c>
    </row>
    <row r="222" spans="1:23" x14ac:dyDescent="0.25">
      <c r="A222">
        <v>8.7875010000000007</v>
      </c>
      <c r="B222">
        <f t="shared" si="33"/>
        <v>217</v>
      </c>
      <c r="C222">
        <f t="shared" si="29"/>
        <v>-7.0819220059920536</v>
      </c>
      <c r="D222">
        <f t="shared" si="30"/>
        <v>9.3801330131860379</v>
      </c>
      <c r="E222">
        <f t="shared" si="31"/>
        <v>0.35121270305293539</v>
      </c>
      <c r="F222">
        <f t="shared" si="32"/>
        <v>-0.5926320131860372</v>
      </c>
      <c r="G222">
        <f t="shared" si="34"/>
        <v>-0.21449136300325553</v>
      </c>
      <c r="H222">
        <f t="shared" si="35"/>
        <v>9.1656416501827831</v>
      </c>
      <c r="S222">
        <v>9.5500019999999992</v>
      </c>
      <c r="T222">
        <v>8.3667538132803827</v>
      </c>
      <c r="U222">
        <f t="shared" si="27"/>
        <v>1.1832481867196165</v>
      </c>
      <c r="W222">
        <f t="shared" si="28"/>
        <v>1.1832481867196165</v>
      </c>
    </row>
    <row r="223" spans="1:23" x14ac:dyDescent="0.25">
      <c r="A223">
        <v>10.112500000000001</v>
      </c>
      <c r="B223">
        <f t="shared" si="33"/>
        <v>218</v>
      </c>
      <c r="C223">
        <f t="shared" si="29"/>
        <v>-7.0464329394714937</v>
      </c>
      <c r="D223">
        <f t="shared" si="30"/>
        <v>9.4156220797065977</v>
      </c>
      <c r="E223">
        <f t="shared" si="31"/>
        <v>0.48563883579245853</v>
      </c>
      <c r="F223">
        <f t="shared" si="32"/>
        <v>0.69687792029340301</v>
      </c>
      <c r="G223">
        <f t="shared" si="34"/>
        <v>-0.34961477961608761</v>
      </c>
      <c r="H223">
        <f t="shared" si="35"/>
        <v>9.0660073000905097</v>
      </c>
      <c r="S223">
        <v>11.05</v>
      </c>
      <c r="T223">
        <v>10.243279940576752</v>
      </c>
      <c r="U223">
        <f t="shared" si="27"/>
        <v>0.80672005942324887</v>
      </c>
      <c r="W223">
        <f t="shared" si="28"/>
        <v>0.80672005942324887</v>
      </c>
    </row>
    <row r="224" spans="1:23" x14ac:dyDescent="0.25">
      <c r="A224">
        <v>7.46875</v>
      </c>
      <c r="B224">
        <f t="shared" si="33"/>
        <v>219</v>
      </c>
      <c r="C224">
        <f t="shared" si="29"/>
        <v>-7.0088558627964908</v>
      </c>
      <c r="D224">
        <f t="shared" si="30"/>
        <v>9.4531991563816007</v>
      </c>
      <c r="E224">
        <f t="shared" si="31"/>
        <v>3.9380384542636468</v>
      </c>
      <c r="F224">
        <f t="shared" si="32"/>
        <v>-1.9844491563816007</v>
      </c>
      <c r="G224">
        <f t="shared" si="34"/>
        <v>0.81703500474440549</v>
      </c>
      <c r="H224">
        <f t="shared" si="35"/>
        <v>10.270234161126005</v>
      </c>
      <c r="S224">
        <v>13.9</v>
      </c>
      <c r="T224">
        <v>10.60041084699334</v>
      </c>
      <c r="U224">
        <f t="shared" si="27"/>
        <v>3.2995891530066608</v>
      </c>
      <c r="W224">
        <f t="shared" si="28"/>
        <v>3.2995891530066608</v>
      </c>
    </row>
    <row r="225" spans="1:23" x14ac:dyDescent="0.25">
      <c r="A225">
        <v>8.3312500000000007</v>
      </c>
      <c r="B225">
        <f t="shared" si="33"/>
        <v>220</v>
      </c>
      <c r="C225">
        <f t="shared" si="29"/>
        <v>-6.9692019108658405</v>
      </c>
      <c r="D225">
        <f t="shared" si="30"/>
        <v>9.49285310831225</v>
      </c>
      <c r="E225">
        <f t="shared" si="31"/>
        <v>1.3493217812406793</v>
      </c>
      <c r="F225">
        <f t="shared" si="32"/>
        <v>-1.1616031083122493</v>
      </c>
      <c r="G225">
        <f t="shared" si="34"/>
        <v>-1.9901069419572375</v>
      </c>
      <c r="H225">
        <f t="shared" si="35"/>
        <v>7.5027461663550126</v>
      </c>
      <c r="S225">
        <v>9.4124999999999996</v>
      </c>
      <c r="T225">
        <v>12.877090416989942</v>
      </c>
      <c r="U225">
        <f t="shared" si="27"/>
        <v>-3.4645904169899424</v>
      </c>
      <c r="W225">
        <f t="shared" si="28"/>
        <v>3.4645904169899424</v>
      </c>
    </row>
    <row r="226" spans="1:23" x14ac:dyDescent="0.25">
      <c r="A226">
        <v>12.237500000000001</v>
      </c>
      <c r="B226">
        <f t="shared" si="33"/>
        <v>221</v>
      </c>
      <c r="C226">
        <f t="shared" si="29"/>
        <v>-6.9274828340013084</v>
      </c>
      <c r="D226">
        <f t="shared" si="30"/>
        <v>9.5345721851767831</v>
      </c>
      <c r="E226">
        <f t="shared" si="31"/>
        <v>7.3058187721450141</v>
      </c>
      <c r="F226">
        <f t="shared" si="32"/>
        <v>2.7029278148232176</v>
      </c>
      <c r="G226">
        <f t="shared" si="34"/>
        <v>-0.24518648289070485</v>
      </c>
      <c r="H226">
        <f t="shared" si="35"/>
        <v>9.2893857022860775</v>
      </c>
      <c r="S226">
        <v>8.3687509999999996</v>
      </c>
      <c r="T226">
        <v>8.4026952752066713</v>
      </c>
      <c r="U226">
        <f t="shared" si="27"/>
        <v>-3.3944275206671648E-2</v>
      </c>
      <c r="W226">
        <f t="shared" si="28"/>
        <v>3.3944275206671648E-2</v>
      </c>
    </row>
    <row r="227" spans="1:23" x14ac:dyDescent="0.25">
      <c r="A227">
        <v>8.7937510000000003</v>
      </c>
      <c r="B227">
        <f t="shared" si="33"/>
        <v>222</v>
      </c>
      <c r="C227">
        <f t="shared" si="29"/>
        <v>-6.8837109944657353</v>
      </c>
      <c r="D227">
        <f t="shared" si="30"/>
        <v>9.5783440247123561</v>
      </c>
      <c r="E227">
        <f t="shared" si="31"/>
        <v>0.61558621442728334</v>
      </c>
      <c r="F227">
        <f t="shared" si="32"/>
        <v>-0.78459302471235581</v>
      </c>
      <c r="G227">
        <f t="shared" si="34"/>
        <v>2.3708967831177219</v>
      </c>
      <c r="H227">
        <f t="shared" si="35"/>
        <v>11.949240807830078</v>
      </c>
      <c r="S227">
        <v>7.5812499999999998</v>
      </c>
      <c r="T227">
        <v>9.3947801129264068</v>
      </c>
      <c r="U227">
        <f t="shared" si="27"/>
        <v>-1.813530112926407</v>
      </c>
      <c r="W227">
        <f t="shared" si="28"/>
        <v>1.813530112926407</v>
      </c>
    </row>
    <row r="228" spans="1:23" x14ac:dyDescent="0.25">
      <c r="A228">
        <v>7.3187499999999996</v>
      </c>
      <c r="B228">
        <f t="shared" si="33"/>
        <v>223</v>
      </c>
      <c r="C228">
        <f t="shared" si="29"/>
        <v>-6.8378993627998526</v>
      </c>
      <c r="D228">
        <f t="shared" si="30"/>
        <v>9.6241556563782389</v>
      </c>
      <c r="E228">
        <f t="shared" si="31"/>
        <v>5.3148952404607801</v>
      </c>
      <c r="F228">
        <f t="shared" si="32"/>
        <v>-2.3054056563782392</v>
      </c>
      <c r="G228">
        <f t="shared" si="34"/>
        <v>-1.7007756190597059</v>
      </c>
      <c r="H228">
        <f t="shared" si="35"/>
        <v>7.923380037318533</v>
      </c>
      <c r="S228">
        <v>10.481249999999999</v>
      </c>
      <c r="T228">
        <v>8.4280076677929525</v>
      </c>
      <c r="U228">
        <f t="shared" si="27"/>
        <v>2.0532423322070468</v>
      </c>
      <c r="W228">
        <f t="shared" si="28"/>
        <v>2.0532423322070468</v>
      </c>
    </row>
    <row r="229" spans="1:23" x14ac:dyDescent="0.25">
      <c r="A229">
        <v>9.5500019999999992</v>
      </c>
      <c r="B229">
        <f t="shared" si="33"/>
        <v>224</v>
      </c>
      <c r="C229">
        <f t="shared" si="29"/>
        <v>-6.7900615139788156</v>
      </c>
      <c r="D229">
        <f t="shared" si="30"/>
        <v>9.6719935051992749</v>
      </c>
      <c r="E229">
        <f t="shared" si="31"/>
        <v>1.4881927340784912E-2</v>
      </c>
      <c r="F229">
        <f t="shared" si="32"/>
        <v>-0.12199150519927571</v>
      </c>
      <c r="G229">
        <f t="shared" si="34"/>
        <v>-1.3052396919188929</v>
      </c>
      <c r="H229">
        <f t="shared" si="35"/>
        <v>8.3667538132803827</v>
      </c>
      <c r="S229">
        <v>9.3312519999999992</v>
      </c>
      <c r="T229">
        <v>11.004643543584425</v>
      </c>
      <c r="U229">
        <f t="shared" si="27"/>
        <v>-1.673391543584426</v>
      </c>
      <c r="W229">
        <f t="shared" si="28"/>
        <v>1.673391543584426</v>
      </c>
    </row>
    <row r="230" spans="1:23" x14ac:dyDescent="0.25">
      <c r="A230">
        <v>11.05</v>
      </c>
      <c r="B230">
        <f t="shared" si="33"/>
        <v>225</v>
      </c>
      <c r="C230">
        <f t="shared" si="29"/>
        <v>-6.7402116233896585</v>
      </c>
      <c r="D230">
        <f t="shared" si="30"/>
        <v>9.7218433957884329</v>
      </c>
      <c r="E230">
        <f t="shared" si="31"/>
        <v>1.7639999653108032</v>
      </c>
      <c r="F230">
        <f t="shared" si="32"/>
        <v>1.3281566042115678</v>
      </c>
      <c r="G230">
        <f t="shared" si="34"/>
        <v>0.52143654478831925</v>
      </c>
      <c r="H230">
        <f t="shared" si="35"/>
        <v>10.243279940576752</v>
      </c>
      <c r="S230">
        <v>10.5875</v>
      </c>
      <c r="T230">
        <v>9.0080177095413276</v>
      </c>
      <c r="U230">
        <f t="shared" si="27"/>
        <v>1.5794822904586727</v>
      </c>
      <c r="W230">
        <f t="shared" si="28"/>
        <v>1.5794822904586727</v>
      </c>
    </row>
    <row r="231" spans="1:23" x14ac:dyDescent="0.25">
      <c r="A231">
        <v>13.9</v>
      </c>
      <c r="B231">
        <f t="shared" si="33"/>
        <v>226</v>
      </c>
      <c r="C231">
        <f t="shared" si="29"/>
        <v>-6.688364462630811</v>
      </c>
      <c r="D231">
        <f t="shared" si="30"/>
        <v>9.7736905565472796</v>
      </c>
      <c r="E231">
        <f t="shared" si="31"/>
        <v>17.026429623127104</v>
      </c>
      <c r="F231">
        <f t="shared" si="32"/>
        <v>4.1263094434527208</v>
      </c>
      <c r="G231">
        <f t="shared" si="34"/>
        <v>0.82672029044606021</v>
      </c>
      <c r="H231">
        <f t="shared" si="35"/>
        <v>10.60041084699334</v>
      </c>
      <c r="S231">
        <v>11.637499999999999</v>
      </c>
      <c r="T231">
        <v>10.886701795848763</v>
      </c>
      <c r="U231">
        <f t="shared" si="27"/>
        <v>0.75079820415123599</v>
      </c>
      <c r="W231">
        <f t="shared" si="28"/>
        <v>0.75079820415123599</v>
      </c>
    </row>
    <row r="232" spans="1:23" x14ac:dyDescent="0.25">
      <c r="A232">
        <v>9.4124999999999996</v>
      </c>
      <c r="B232">
        <f t="shared" si="33"/>
        <v>227</v>
      </c>
      <c r="C232">
        <f t="shared" si="29"/>
        <v>-6.634535395134959</v>
      </c>
      <c r="D232">
        <f t="shared" si="30"/>
        <v>9.8275196240431324</v>
      </c>
      <c r="E232">
        <f t="shared" si="31"/>
        <v>0.17224128834090324</v>
      </c>
      <c r="F232">
        <f t="shared" si="32"/>
        <v>-0.41501962404313275</v>
      </c>
      <c r="G232">
        <f t="shared" si="34"/>
        <v>3.0495707929468092</v>
      </c>
      <c r="H232">
        <f t="shared" si="35"/>
        <v>12.877090416989942</v>
      </c>
      <c r="S232">
        <v>13.418749999999999</v>
      </c>
      <c r="T232">
        <v>11.227985615672267</v>
      </c>
      <c r="U232">
        <f t="shared" si="27"/>
        <v>2.190764384327732</v>
      </c>
      <c r="W232">
        <f t="shared" si="28"/>
        <v>2.190764384327732</v>
      </c>
    </row>
    <row r="233" spans="1:23" x14ac:dyDescent="0.25">
      <c r="A233">
        <v>8.3687509999999996</v>
      </c>
      <c r="B233">
        <f t="shared" si="33"/>
        <v>228</v>
      </c>
      <c r="C233">
        <f t="shared" si="29"/>
        <v>-6.5787403716165267</v>
      </c>
      <c r="D233">
        <f t="shared" si="30"/>
        <v>9.8833146475615656</v>
      </c>
      <c r="E233">
        <f t="shared" si="31"/>
        <v>2.2939030425149958</v>
      </c>
      <c r="F233">
        <f t="shared" si="32"/>
        <v>-1.514563647561566</v>
      </c>
      <c r="G233">
        <f t="shared" si="34"/>
        <v>-1.4806193723548935</v>
      </c>
      <c r="H233">
        <f t="shared" si="35"/>
        <v>8.4026952752066713</v>
      </c>
      <c r="S233">
        <v>12.4375</v>
      </c>
      <c r="T233">
        <v>12.606632161346612</v>
      </c>
      <c r="U233">
        <f t="shared" si="27"/>
        <v>-0.16913216134661191</v>
      </c>
      <c r="W233">
        <f t="shared" si="28"/>
        <v>0.16913216134661191</v>
      </c>
    </row>
    <row r="234" spans="1:23" x14ac:dyDescent="0.25">
      <c r="A234">
        <v>7.5812499999999998</v>
      </c>
      <c r="B234">
        <f t="shared" si="33"/>
        <v>229</v>
      </c>
      <c r="C234">
        <f t="shared" si="29"/>
        <v>-6.5209959253451384</v>
      </c>
      <c r="D234">
        <f t="shared" si="30"/>
        <v>9.9410590938329531</v>
      </c>
      <c r="E234">
        <f t="shared" si="31"/>
        <v>5.5686989593367038</v>
      </c>
      <c r="F234">
        <f t="shared" si="32"/>
        <v>-2.3598090938329532</v>
      </c>
      <c r="G234">
        <f t="shared" si="34"/>
        <v>-0.54627898090654681</v>
      </c>
      <c r="H234">
        <f t="shared" si="35"/>
        <v>9.3947801129264068</v>
      </c>
      <c r="S234">
        <v>10.856249999999999</v>
      </c>
      <c r="T234">
        <v>11.382484637317109</v>
      </c>
      <c r="U234">
        <f t="shared" si="27"/>
        <v>-0.52623463731710984</v>
      </c>
      <c r="W234">
        <f t="shared" si="28"/>
        <v>0.52623463731710984</v>
      </c>
    </row>
    <row r="235" spans="1:23" x14ac:dyDescent="0.25">
      <c r="A235">
        <v>10.481249999999999</v>
      </c>
      <c r="B235">
        <f t="shared" si="33"/>
        <v>230</v>
      </c>
      <c r="C235">
        <f t="shared" si="29"/>
        <v>-6.4613191672464527</v>
      </c>
      <c r="D235">
        <f t="shared" si="30"/>
        <v>10.000735851931639</v>
      </c>
      <c r="E235">
        <f t="shared" si="31"/>
        <v>0.23089384649386235</v>
      </c>
      <c r="F235">
        <f t="shared" si="32"/>
        <v>0.48051414806836057</v>
      </c>
      <c r="G235">
        <f t="shared" si="34"/>
        <v>-1.5727281841386855</v>
      </c>
      <c r="H235">
        <f t="shared" si="35"/>
        <v>8.4280076677929525</v>
      </c>
      <c r="S235">
        <v>10.8125</v>
      </c>
      <c r="T235">
        <v>10.643722390032638</v>
      </c>
      <c r="U235">
        <f t="shared" si="27"/>
        <v>0.16877760996736235</v>
      </c>
      <c r="W235">
        <f t="shared" si="28"/>
        <v>0.16877760996736235</v>
      </c>
    </row>
    <row r="236" spans="1:23" x14ac:dyDescent="0.25">
      <c r="A236">
        <v>9.3312519999999992</v>
      </c>
      <c r="B236">
        <f t="shared" si="33"/>
        <v>231</v>
      </c>
      <c r="C236">
        <f t="shared" si="29"/>
        <v>-6.3997277808318245</v>
      </c>
      <c r="D236">
        <f t="shared" si="30"/>
        <v>10.062327238346267</v>
      </c>
      <c r="E236">
        <f t="shared" si="31"/>
        <v>0.53447100412305215</v>
      </c>
      <c r="F236">
        <f t="shared" si="32"/>
        <v>-0.73107523834626775</v>
      </c>
      <c r="G236">
        <f t="shared" si="34"/>
        <v>0.94231630523815735</v>
      </c>
      <c r="H236">
        <f t="shared" si="35"/>
        <v>11.004643543584425</v>
      </c>
      <c r="S236">
        <v>11.34375</v>
      </c>
      <c r="T236">
        <v>10.99599488748998</v>
      </c>
      <c r="U236">
        <f t="shared" si="27"/>
        <v>0.34775511251002023</v>
      </c>
      <c r="W236">
        <f t="shared" si="28"/>
        <v>0.34775511251002023</v>
      </c>
    </row>
    <row r="237" spans="1:23" x14ac:dyDescent="0.25">
      <c r="A237">
        <v>10.5875</v>
      </c>
      <c r="B237">
        <f t="shared" si="33"/>
        <v>232</v>
      </c>
      <c r="C237">
        <f t="shared" si="29"/>
        <v>-6.3362400169582971</v>
      </c>
      <c r="D237">
        <f t="shared" si="30"/>
        <v>10.125815002219795</v>
      </c>
      <c r="E237">
        <f t="shared" si="31"/>
        <v>0.21315303717530801</v>
      </c>
      <c r="F237">
        <f t="shared" si="32"/>
        <v>0.46168499778020511</v>
      </c>
      <c r="G237">
        <f t="shared" si="34"/>
        <v>-1.1177972926784681</v>
      </c>
      <c r="H237">
        <f t="shared" si="35"/>
        <v>9.0080177095413276</v>
      </c>
      <c r="S237">
        <v>12.0625</v>
      </c>
      <c r="T237">
        <v>11.254887054228652</v>
      </c>
      <c r="U237">
        <f t="shared" si="27"/>
        <v>0.80761294577134812</v>
      </c>
      <c r="W237">
        <f t="shared" si="28"/>
        <v>0.80761294577134812</v>
      </c>
    </row>
    <row r="238" spans="1:23" x14ac:dyDescent="0.25">
      <c r="A238">
        <v>11.637499999999999</v>
      </c>
      <c r="B238">
        <f t="shared" si="33"/>
        <v>233</v>
      </c>
      <c r="C238">
        <f t="shared" si="29"/>
        <v>-6.270874688420486</v>
      </c>
      <c r="D238">
        <f t="shared" si="30"/>
        <v>10.191180330757605</v>
      </c>
      <c r="E238">
        <f t="shared" si="31"/>
        <v>2.0918405856374274</v>
      </c>
      <c r="F238">
        <f t="shared" si="32"/>
        <v>1.4463196692423939</v>
      </c>
      <c r="G238">
        <f t="shared" si="34"/>
        <v>0.6955214650911572</v>
      </c>
      <c r="H238">
        <f t="shared" si="35"/>
        <v>10.886701795848763</v>
      </c>
      <c r="S238">
        <v>11.831250000000001</v>
      </c>
      <c r="T238">
        <v>11.713296148575676</v>
      </c>
      <c r="U238">
        <f t="shared" si="27"/>
        <v>0.1179538514243248</v>
      </c>
      <c r="W238">
        <f t="shared" si="28"/>
        <v>0.1179538514243248</v>
      </c>
    </row>
    <row r="239" spans="1:23" x14ac:dyDescent="0.25">
      <c r="A239">
        <v>13.418749999999999</v>
      </c>
      <c r="B239">
        <f t="shared" si="33"/>
        <v>234</v>
      </c>
      <c r="C239">
        <f t="shared" si="29"/>
        <v>-6.2036511643759349</v>
      </c>
      <c r="D239">
        <f t="shared" si="30"/>
        <v>10.258403854802157</v>
      </c>
      <c r="E239">
        <f t="shared" si="31"/>
        <v>9.9877877574668581</v>
      </c>
      <c r="F239">
        <f t="shared" si="32"/>
        <v>3.1603461451978418</v>
      </c>
      <c r="G239">
        <f t="shared" si="34"/>
        <v>0.96958176087010928</v>
      </c>
      <c r="H239">
        <f t="shared" si="35"/>
        <v>11.227985615672267</v>
      </c>
      <c r="S239">
        <v>10.4125</v>
      </c>
      <c r="T239">
        <v>11.391856764939625</v>
      </c>
      <c r="U239">
        <f t="shared" si="27"/>
        <v>-0.97935676493962553</v>
      </c>
      <c r="W239">
        <f t="shared" si="28"/>
        <v>0.97935676493962553</v>
      </c>
    </row>
    <row r="240" spans="1:23" x14ac:dyDescent="0.25">
      <c r="A240">
        <v>12.4375</v>
      </c>
      <c r="B240">
        <f t="shared" si="33"/>
        <v>235</v>
      </c>
      <c r="C240">
        <f t="shared" si="29"/>
        <v>-6.1345893646056249</v>
      </c>
      <c r="D240">
        <f t="shared" si="30"/>
        <v>10.327465654572467</v>
      </c>
      <c r="E240">
        <f t="shared" si="31"/>
        <v>4.4522449388837959</v>
      </c>
      <c r="F240">
        <f t="shared" si="32"/>
        <v>2.1100343454275325</v>
      </c>
      <c r="G240">
        <f t="shared" si="34"/>
        <v>2.2791665067741449</v>
      </c>
      <c r="H240">
        <f t="shared" si="35"/>
        <v>12.606632161346612</v>
      </c>
      <c r="S240">
        <v>7.987501</v>
      </c>
      <c r="T240">
        <v>10.397675836153182</v>
      </c>
      <c r="U240">
        <f t="shared" si="27"/>
        <v>-2.4101748361531818</v>
      </c>
      <c r="W240">
        <f t="shared" si="28"/>
        <v>2.4101748361531818</v>
      </c>
    </row>
    <row r="241" spans="1:23" x14ac:dyDescent="0.25">
      <c r="A241">
        <v>10.856249999999999</v>
      </c>
      <c r="B241">
        <f t="shared" si="33"/>
        <v>236</v>
      </c>
      <c r="C241">
        <f t="shared" si="29"/>
        <v>-6.0637097536112972</v>
      </c>
      <c r="D241">
        <f t="shared" si="30"/>
        <v>10.398345265566794</v>
      </c>
      <c r="E241">
        <f t="shared" si="31"/>
        <v>0.20967674581634399</v>
      </c>
      <c r="F241">
        <f t="shared" si="32"/>
        <v>0.45790473443320501</v>
      </c>
      <c r="G241">
        <f t="shared" si="34"/>
        <v>0.98413937175031507</v>
      </c>
      <c r="H241">
        <f t="shared" si="35"/>
        <v>11.382484637317109</v>
      </c>
      <c r="S241">
        <v>8.956251</v>
      </c>
      <c r="T241">
        <v>8.7941697324636596</v>
      </c>
      <c r="U241">
        <f t="shared" si="27"/>
        <v>0.16208126753634033</v>
      </c>
      <c r="W241">
        <f t="shared" si="28"/>
        <v>0.16208126753634033</v>
      </c>
    </row>
    <row r="242" spans="1:23" x14ac:dyDescent="0.25">
      <c r="A242">
        <v>10.8125</v>
      </c>
      <c r="B242">
        <f t="shared" si="33"/>
        <v>237</v>
      </c>
      <c r="C242">
        <f t="shared" si="29"/>
        <v>-5.9910333345513997</v>
      </c>
      <c r="D242">
        <f t="shared" si="30"/>
        <v>10.471021684626692</v>
      </c>
      <c r="E242">
        <f t="shared" si="31"/>
        <v>0.11660743987019261</v>
      </c>
      <c r="F242">
        <f t="shared" si="32"/>
        <v>0.34147831537330831</v>
      </c>
      <c r="G242">
        <f t="shared" si="34"/>
        <v>0.17270070540594645</v>
      </c>
      <c r="H242">
        <f t="shared" si="35"/>
        <v>10.643722390032638</v>
      </c>
      <c r="S242">
        <v>9.3750009999999993</v>
      </c>
      <c r="T242">
        <v>10.213542431870627</v>
      </c>
      <c r="U242">
        <f t="shared" si="27"/>
        <v>-0.83854143187062746</v>
      </c>
      <c r="W242">
        <f t="shared" si="28"/>
        <v>0.83854143187062746</v>
      </c>
    </row>
    <row r="243" spans="1:23" x14ac:dyDescent="0.25">
      <c r="A243">
        <v>11.34375</v>
      </c>
      <c r="B243">
        <f t="shared" si="33"/>
        <v>238</v>
      </c>
      <c r="C243">
        <f t="shared" si="29"/>
        <v>-5.9165816430173885</v>
      </c>
      <c r="D243">
        <f t="shared" si="30"/>
        <v>10.545473376160704</v>
      </c>
      <c r="E243">
        <f t="shared" si="31"/>
        <v>0.63724556816826516</v>
      </c>
      <c r="F243">
        <f t="shared" si="32"/>
        <v>0.79827662383929621</v>
      </c>
      <c r="G243">
        <f t="shared" si="34"/>
        <v>0.45052151132927654</v>
      </c>
      <c r="H243">
        <f t="shared" si="35"/>
        <v>10.99599488748998</v>
      </c>
      <c r="S243">
        <v>11.706250000000001</v>
      </c>
      <c r="T243">
        <v>9.9324089061099698</v>
      </c>
      <c r="U243">
        <f t="shared" si="27"/>
        <v>1.7738410938900309</v>
      </c>
      <c r="W243">
        <f t="shared" si="28"/>
        <v>1.7738410938900309</v>
      </c>
    </row>
    <row r="244" spans="1:23" x14ac:dyDescent="0.25">
      <c r="A244">
        <v>12.0625</v>
      </c>
      <c r="B244">
        <f t="shared" si="33"/>
        <v>239</v>
      </c>
      <c r="C244">
        <f t="shared" si="29"/>
        <v>-5.8403767406522586</v>
      </c>
      <c r="D244">
        <f t="shared" si="30"/>
        <v>10.621678278525833</v>
      </c>
      <c r="E244">
        <f t="shared" si="31"/>
        <v>2.0759672330717827</v>
      </c>
      <c r="F244">
        <f t="shared" si="32"/>
        <v>1.4408217214741672</v>
      </c>
      <c r="G244">
        <f t="shared" si="34"/>
        <v>0.63320877570281942</v>
      </c>
      <c r="H244">
        <f t="shared" si="35"/>
        <v>11.254887054228652</v>
      </c>
      <c r="S244">
        <v>14.5875</v>
      </c>
      <c r="T244">
        <v>11.943112131583781</v>
      </c>
      <c r="U244">
        <f t="shared" si="27"/>
        <v>2.644387868416219</v>
      </c>
      <c r="W244">
        <f t="shared" si="28"/>
        <v>2.644387868416219</v>
      </c>
    </row>
    <row r="245" spans="1:23" x14ac:dyDescent="0.25">
      <c r="A245">
        <v>11.831250000000001</v>
      </c>
      <c r="B245">
        <f t="shared" si="33"/>
        <v>240</v>
      </c>
      <c r="C245">
        <f t="shared" si="29"/>
        <v>-5.7624412086132235</v>
      </c>
      <c r="D245">
        <f t="shared" si="30"/>
        <v>10.699613810564868</v>
      </c>
      <c r="E245">
        <f t="shared" si="31"/>
        <v>1.2806004652392677</v>
      </c>
      <c r="F245">
        <f t="shared" si="32"/>
        <v>1.1316361894351328</v>
      </c>
      <c r="G245">
        <f t="shared" si="34"/>
        <v>1.013682338010808</v>
      </c>
      <c r="H245">
        <f t="shared" si="35"/>
        <v>11.713296148575676</v>
      </c>
      <c r="S245">
        <v>12.175000000000001</v>
      </c>
      <c r="T245">
        <v>13.726247305035024</v>
      </c>
      <c r="U245">
        <f t="shared" si="27"/>
        <v>-1.5512473050350231</v>
      </c>
      <c r="W245">
        <f t="shared" si="28"/>
        <v>1.5512473050350231</v>
      </c>
    </row>
    <row r="246" spans="1:23" x14ac:dyDescent="0.25">
      <c r="A246">
        <v>10.4125</v>
      </c>
      <c r="B246">
        <f t="shared" si="33"/>
        <v>241</v>
      </c>
      <c r="C246">
        <f t="shared" si="29"/>
        <v>-5.682798140880406</v>
      </c>
      <c r="D246">
        <f t="shared" si="30"/>
        <v>10.779256878297685</v>
      </c>
      <c r="E246">
        <f t="shared" si="31"/>
        <v>0.1345106077786635</v>
      </c>
      <c r="F246">
        <f t="shared" si="32"/>
        <v>-0.36675687829768577</v>
      </c>
      <c r="G246">
        <f t="shared" si="34"/>
        <v>0.61259988664193921</v>
      </c>
      <c r="H246">
        <f t="shared" si="35"/>
        <v>11.391856764939625</v>
      </c>
      <c r="S246">
        <v>12.55625</v>
      </c>
      <c r="T246">
        <v>11.131210057566573</v>
      </c>
      <c r="U246">
        <f t="shared" si="27"/>
        <v>1.4250399424334272</v>
      </c>
      <c r="W246">
        <f t="shared" si="28"/>
        <v>1.4250399424334272</v>
      </c>
    </row>
    <row r="247" spans="1:23" x14ac:dyDescent="0.25">
      <c r="A247">
        <v>7.987501</v>
      </c>
      <c r="B247">
        <f t="shared" si="33"/>
        <v>242</v>
      </c>
      <c r="C247">
        <f t="shared" si="29"/>
        <v>-5.6014711374136175</v>
      </c>
      <c r="D247">
        <f t="shared" si="30"/>
        <v>10.860583881764473</v>
      </c>
      <c r="E247">
        <f t="shared" si="31"/>
        <v>8.2546052454880492</v>
      </c>
      <c r="F247">
        <f t="shared" si="32"/>
        <v>-2.8730828817644731</v>
      </c>
      <c r="G247">
        <f t="shared" si="34"/>
        <v>-0.46290804561129201</v>
      </c>
      <c r="H247">
        <f t="shared" si="35"/>
        <v>10.397675836153182</v>
      </c>
      <c r="S247">
        <v>12.775</v>
      </c>
      <c r="T247">
        <v>12.679898748403589</v>
      </c>
      <c r="U247">
        <f t="shared" si="27"/>
        <v>9.5101251596410918E-2</v>
      </c>
      <c r="W247">
        <f t="shared" si="28"/>
        <v>9.5101251596410918E-2</v>
      </c>
    </row>
    <row r="248" spans="1:23" x14ac:dyDescent="0.25">
      <c r="A248">
        <v>8.956251</v>
      </c>
      <c r="B248">
        <f t="shared" si="33"/>
        <v>243</v>
      </c>
      <c r="C248">
        <f t="shared" si="29"/>
        <v>-5.5184842971591683</v>
      </c>
      <c r="D248">
        <f t="shared" si="30"/>
        <v>10.943570722018922</v>
      </c>
      <c r="E248">
        <f t="shared" si="31"/>
        <v>3.9494396775253664</v>
      </c>
      <c r="F248">
        <f t="shared" si="32"/>
        <v>-1.9873197220189223</v>
      </c>
      <c r="G248">
        <f t="shared" si="34"/>
        <v>-2.1494009895552622</v>
      </c>
      <c r="H248">
        <f t="shared" si="35"/>
        <v>8.7941697324636596</v>
      </c>
      <c r="S248">
        <v>15.86875</v>
      </c>
      <c r="T248">
        <v>12.422109586598504</v>
      </c>
      <c r="U248">
        <f t="shared" si="27"/>
        <v>3.4466404134014965</v>
      </c>
      <c r="W248">
        <f t="shared" si="28"/>
        <v>3.4466404134014965</v>
      </c>
    </row>
    <row r="249" spans="1:23" x14ac:dyDescent="0.25">
      <c r="A249">
        <v>9.3750009999999993</v>
      </c>
      <c r="B249">
        <f t="shared" si="33"/>
        <v>244</v>
      </c>
      <c r="C249">
        <f t="shared" si="29"/>
        <v>-5.4338622109088206</v>
      </c>
      <c r="D249">
        <f t="shared" si="30"/>
        <v>11.028192808269271</v>
      </c>
      <c r="E249">
        <f t="shared" si="31"/>
        <v>2.733043154928624</v>
      </c>
      <c r="F249">
        <f t="shared" si="32"/>
        <v>-1.6531918082692716</v>
      </c>
      <c r="G249">
        <f t="shared" si="34"/>
        <v>-0.8146503763986449</v>
      </c>
      <c r="H249">
        <f t="shared" si="35"/>
        <v>10.213542431870627</v>
      </c>
      <c r="S249">
        <v>20.149999999999999</v>
      </c>
      <c r="T249">
        <v>15.059033788877937</v>
      </c>
      <c r="U249">
        <f t="shared" si="27"/>
        <v>5.0909662111220619</v>
      </c>
      <c r="W249">
        <f t="shared" si="28"/>
        <v>5.0909662111220619</v>
      </c>
    </row>
    <row r="250" spans="1:23" x14ac:dyDescent="0.25">
      <c r="A250">
        <v>11.706250000000001</v>
      </c>
      <c r="B250">
        <f t="shared" si="33"/>
        <v>245</v>
      </c>
      <c r="C250">
        <f t="shared" si="29"/>
        <v>-5.3476299540130352</v>
      </c>
      <c r="D250">
        <f t="shared" si="30"/>
        <v>11.114425065165056</v>
      </c>
      <c r="E250">
        <f t="shared" si="31"/>
        <v>0.35025675349238627</v>
      </c>
      <c r="F250">
        <f t="shared" si="32"/>
        <v>0.59182493483494447</v>
      </c>
      <c r="G250">
        <f t="shared" si="34"/>
        <v>-1.1820161590550866</v>
      </c>
      <c r="H250">
        <f t="shared" si="35"/>
        <v>9.9324089061099698</v>
      </c>
      <c r="S250">
        <v>13.40625</v>
      </c>
      <c r="T250">
        <v>17.755989936330511</v>
      </c>
      <c r="U250">
        <f t="shared" si="27"/>
        <v>-4.3497399363305114</v>
      </c>
      <c r="W250">
        <f t="shared" si="28"/>
        <v>4.3497399363305114</v>
      </c>
    </row>
    <row r="251" spans="1:23" x14ac:dyDescent="0.25">
      <c r="A251">
        <v>14.5875</v>
      </c>
      <c r="B251">
        <f t="shared" si="33"/>
        <v>246</v>
      </c>
      <c r="C251">
        <f t="shared" si="29"/>
        <v>-5.2598130789505646</v>
      </c>
      <c r="D251">
        <f t="shared" si="30"/>
        <v>11.202241940227527</v>
      </c>
      <c r="E251">
        <f t="shared" si="31"/>
        <v>11.459972131254492</v>
      </c>
      <c r="F251">
        <f t="shared" si="32"/>
        <v>3.3852580597724735</v>
      </c>
      <c r="G251">
        <f t="shared" si="34"/>
        <v>0.74087019135625476</v>
      </c>
      <c r="H251">
        <f t="shared" si="35"/>
        <v>11.943112131583781</v>
      </c>
      <c r="S251">
        <v>9.5750019999999996</v>
      </c>
      <c r="T251">
        <v>11.158825852234965</v>
      </c>
      <c r="U251">
        <f t="shared" si="27"/>
        <v>-1.5838238522349659</v>
      </c>
      <c r="W251">
        <f t="shared" si="28"/>
        <v>1.5838238522349659</v>
      </c>
    </row>
    <row r="252" spans="1:23" x14ac:dyDescent="0.25">
      <c r="A252">
        <v>12.175000000000001</v>
      </c>
      <c r="B252">
        <f t="shared" si="33"/>
        <v>247</v>
      </c>
      <c r="C252">
        <f t="shared" si="29"/>
        <v>-5.1704376077567371</v>
      </c>
      <c r="D252">
        <f t="shared" si="30"/>
        <v>11.291617411421354</v>
      </c>
      <c r="E252">
        <f t="shared" si="31"/>
        <v>0.78036479780390999</v>
      </c>
      <c r="F252">
        <f t="shared" si="32"/>
        <v>0.88338258857864638</v>
      </c>
      <c r="G252">
        <f t="shared" si="34"/>
        <v>2.434629893613669</v>
      </c>
      <c r="H252">
        <f t="shared" si="35"/>
        <v>13.726247305035024</v>
      </c>
      <c r="S252">
        <v>10.24375</v>
      </c>
      <c r="T252">
        <v>10.737025923127558</v>
      </c>
      <c r="U252">
        <f t="shared" si="27"/>
        <v>-0.49327592312755719</v>
      </c>
      <c r="W252">
        <f t="shared" si="28"/>
        <v>0.49327592312755719</v>
      </c>
    </row>
    <row r="253" spans="1:23" x14ac:dyDescent="0.25">
      <c r="A253">
        <v>12.55625</v>
      </c>
      <c r="B253">
        <f t="shared" si="33"/>
        <v>248</v>
      </c>
      <c r="C253">
        <f t="shared" si="29"/>
        <v>-5.079530024312553</v>
      </c>
      <c r="D253">
        <f t="shared" si="30"/>
        <v>11.382524994865538</v>
      </c>
      <c r="E253">
        <f t="shared" si="31"/>
        <v>1.3776303876778946</v>
      </c>
      <c r="F253">
        <f t="shared" si="32"/>
        <v>1.1737250051344628</v>
      </c>
      <c r="G253">
        <f t="shared" si="34"/>
        <v>-0.2513149372989647</v>
      </c>
      <c r="H253">
        <f t="shared" si="35"/>
        <v>11.131210057566573</v>
      </c>
      <c r="S253">
        <v>11.09375</v>
      </c>
      <c r="T253">
        <v>11.580549494307965</v>
      </c>
      <c r="U253">
        <f t="shared" si="27"/>
        <v>-0.48679949430796476</v>
      </c>
      <c r="W253">
        <f t="shared" si="28"/>
        <v>0.48679949430796476</v>
      </c>
    </row>
    <row r="254" spans="1:23" x14ac:dyDescent="0.25">
      <c r="A254">
        <v>12.775</v>
      </c>
      <c r="B254">
        <f t="shared" si="33"/>
        <v>249</v>
      </c>
      <c r="C254">
        <f t="shared" si="29"/>
        <v>-4.9871172664969254</v>
      </c>
      <c r="D254">
        <f t="shared" si="30"/>
        <v>11.474937752681166</v>
      </c>
      <c r="E254">
        <f t="shared" si="31"/>
        <v>1.6901618469036981</v>
      </c>
      <c r="F254">
        <f t="shared" si="32"/>
        <v>1.3000622473188344</v>
      </c>
      <c r="G254">
        <f t="shared" si="34"/>
        <v>1.2049609957224228</v>
      </c>
      <c r="H254">
        <f t="shared" si="35"/>
        <v>12.679898748403589</v>
      </c>
      <c r="S254">
        <v>11.231249999999999</v>
      </c>
      <c r="T254">
        <v>11.56029755398292</v>
      </c>
      <c r="U254">
        <f t="shared" si="27"/>
        <v>-0.32904755398292096</v>
      </c>
      <c r="W254">
        <f t="shared" si="28"/>
        <v>0.32904755398292096</v>
      </c>
    </row>
    <row r="255" spans="1:23" x14ac:dyDescent="0.25">
      <c r="A255">
        <v>15.86875</v>
      </c>
      <c r="B255">
        <f t="shared" si="33"/>
        <v>250</v>
      </c>
      <c r="C255">
        <f t="shared" si="29"/>
        <v>-4.8932267182044322</v>
      </c>
      <c r="D255">
        <f t="shared" si="30"/>
        <v>11.56882830097366</v>
      </c>
      <c r="E255">
        <f t="shared" si="31"/>
        <v>18.48932661775757</v>
      </c>
      <c r="F255">
        <f t="shared" si="32"/>
        <v>4.2999216990263402</v>
      </c>
      <c r="G255">
        <f t="shared" si="34"/>
        <v>0.85328128562484329</v>
      </c>
      <c r="H255">
        <f t="shared" si="35"/>
        <v>12.422109586598504</v>
      </c>
      <c r="S255">
        <v>12.9375</v>
      </c>
      <c r="T255">
        <v>11.536563554246472</v>
      </c>
      <c r="U255">
        <f t="shared" si="27"/>
        <v>1.400936445753528</v>
      </c>
      <c r="W255">
        <f t="shared" si="28"/>
        <v>1.400936445753528</v>
      </c>
    </row>
    <row r="256" spans="1:23" x14ac:dyDescent="0.25">
      <c r="A256">
        <v>20.149999999999999</v>
      </c>
      <c r="B256">
        <f t="shared" si="33"/>
        <v>251</v>
      </c>
      <c r="C256">
        <f t="shared" si="29"/>
        <v>-4.797886201230849</v>
      </c>
      <c r="D256">
        <f t="shared" si="30"/>
        <v>11.664168817947242</v>
      </c>
      <c r="E256">
        <f t="shared" si="31"/>
        <v>72.00933085029888</v>
      </c>
      <c r="F256">
        <f t="shared" si="32"/>
        <v>8.4858311820527561</v>
      </c>
      <c r="G256">
        <f t="shared" si="34"/>
        <v>3.3948649709306946</v>
      </c>
      <c r="H256">
        <f t="shared" si="35"/>
        <v>15.059033788877937</v>
      </c>
      <c r="S256">
        <v>8.3312500000000007</v>
      </c>
      <c r="T256">
        <v>13.096301216096276</v>
      </c>
      <c r="U256">
        <f t="shared" si="27"/>
        <v>-4.7650512160962748</v>
      </c>
      <c r="W256">
        <f t="shared" si="28"/>
        <v>4.7650512160962748</v>
      </c>
    </row>
    <row r="257" spans="1:23" x14ac:dyDescent="0.25">
      <c r="A257">
        <v>13.40625</v>
      </c>
      <c r="B257">
        <f t="shared" si="33"/>
        <v>252</v>
      </c>
      <c r="C257">
        <f t="shared" si="29"/>
        <v>-4.7011239670289759</v>
      </c>
      <c r="D257">
        <f t="shared" si="30"/>
        <v>11.760931052149115</v>
      </c>
      <c r="E257">
        <f t="shared" si="31"/>
        <v>2.7070744401571445</v>
      </c>
      <c r="F257">
        <f t="shared" si="32"/>
        <v>1.6453189478508854</v>
      </c>
      <c r="G257">
        <f t="shared" si="34"/>
        <v>5.9950588841813977</v>
      </c>
      <c r="H257">
        <f t="shared" si="35"/>
        <v>17.755989936330511</v>
      </c>
      <c r="S257">
        <v>8.5187500000000007</v>
      </c>
      <c r="T257">
        <v>8.7050598352848052</v>
      </c>
      <c r="U257">
        <f t="shared" si="27"/>
        <v>-0.18630983528480449</v>
      </c>
      <c r="W257">
        <f t="shared" si="28"/>
        <v>0.18630983528480449</v>
      </c>
    </row>
    <row r="258" spans="1:23" x14ac:dyDescent="0.25">
      <c r="A258">
        <v>9.5750019999999996</v>
      </c>
      <c r="B258">
        <f t="shared" si="33"/>
        <v>253</v>
      </c>
      <c r="C258">
        <f t="shared" si="29"/>
        <v>-4.6029686883371141</v>
      </c>
      <c r="D258">
        <f t="shared" si="30"/>
        <v>11.859086330840977</v>
      </c>
      <c r="E258">
        <f t="shared" si="31"/>
        <v>5.2170412303932769</v>
      </c>
      <c r="F258">
        <f t="shared" si="32"/>
        <v>-2.2840843308409777</v>
      </c>
      <c r="G258">
        <f t="shared" si="34"/>
        <v>-0.70026047860601093</v>
      </c>
      <c r="H258">
        <f t="shared" si="35"/>
        <v>11.158825852234965</v>
      </c>
      <c r="S258">
        <v>11.80625</v>
      </c>
      <c r="T258">
        <v>10.626187637804623</v>
      </c>
      <c r="U258">
        <f t="shared" si="27"/>
        <v>1.1800623621953772</v>
      </c>
      <c r="W258">
        <f t="shared" si="28"/>
        <v>1.1800623621953772</v>
      </c>
    </row>
    <row r="259" spans="1:23" x14ac:dyDescent="0.25">
      <c r="A259">
        <v>10.24375</v>
      </c>
      <c r="B259">
        <f t="shared" si="33"/>
        <v>254</v>
      </c>
      <c r="C259">
        <f t="shared" si="29"/>
        <v>-4.503449450682691</v>
      </c>
      <c r="D259">
        <f t="shared" si="30"/>
        <v>11.9586055684954</v>
      </c>
      <c r="E259">
        <f t="shared" si="31"/>
        <v>2.940729620799682</v>
      </c>
      <c r="F259">
        <f t="shared" si="32"/>
        <v>-1.7148555684954001</v>
      </c>
      <c r="G259">
        <f t="shared" si="34"/>
        <v>-1.2215796453678431</v>
      </c>
      <c r="H259">
        <f t="shared" si="35"/>
        <v>10.737025923127558</v>
      </c>
      <c r="S259">
        <v>12.46875</v>
      </c>
      <c r="T259">
        <v>12.712520240806954</v>
      </c>
      <c r="U259">
        <f t="shared" ref="U259:U322" si="36">S259-T259</f>
        <v>-0.24377024080695442</v>
      </c>
      <c r="W259">
        <f t="shared" ref="W259:W322" si="37">ABS(U259)</f>
        <v>0.24377024080695442</v>
      </c>
    </row>
    <row r="260" spans="1:23" x14ac:dyDescent="0.25">
      <c r="A260">
        <v>11.09375</v>
      </c>
      <c r="B260">
        <f t="shared" si="33"/>
        <v>255</v>
      </c>
      <c r="C260">
        <f t="shared" si="29"/>
        <v>-4.4025957437636372</v>
      </c>
      <c r="D260">
        <f t="shared" si="30"/>
        <v>12.059459275414454</v>
      </c>
      <c r="E260">
        <f t="shared" si="31"/>
        <v>0.93259440462151033</v>
      </c>
      <c r="F260">
        <f t="shared" si="32"/>
        <v>-0.96570927541445428</v>
      </c>
      <c r="G260">
        <f t="shared" si="34"/>
        <v>-0.47890978110648985</v>
      </c>
      <c r="H260">
        <f t="shared" si="35"/>
        <v>11.580549494307965</v>
      </c>
      <c r="S260">
        <v>9.3500010000000007</v>
      </c>
      <c r="T260">
        <v>12.283070655752331</v>
      </c>
      <c r="U260">
        <f t="shared" si="36"/>
        <v>-2.9330696557523304</v>
      </c>
      <c r="W260">
        <f t="shared" si="37"/>
        <v>2.9330696557523304</v>
      </c>
    </row>
    <row r="261" spans="1:23" x14ac:dyDescent="0.25">
      <c r="A261">
        <v>11.231249999999999</v>
      </c>
      <c r="B261">
        <f t="shared" si="33"/>
        <v>256</v>
      </c>
      <c r="C261">
        <f t="shared" si="29"/>
        <v>-4.3004374527099021</v>
      </c>
      <c r="D261">
        <f t="shared" si="30"/>
        <v>12.161617566468189</v>
      </c>
      <c r="E261">
        <f t="shared" si="31"/>
        <v>0.8655838087359421</v>
      </c>
      <c r="F261">
        <f t="shared" si="32"/>
        <v>-0.93036756646819008</v>
      </c>
      <c r="G261">
        <f t="shared" si="34"/>
        <v>-0.60132001248526912</v>
      </c>
      <c r="H261">
        <f t="shared" si="35"/>
        <v>11.56029755398292</v>
      </c>
      <c r="S261">
        <v>12.768750000000001</v>
      </c>
      <c r="T261">
        <v>9.9474982631927382</v>
      </c>
      <c r="U261">
        <f t="shared" si="36"/>
        <v>2.8212517368072625</v>
      </c>
      <c r="W261">
        <f t="shared" si="37"/>
        <v>2.8212517368072625</v>
      </c>
    </row>
    <row r="262" spans="1:23" x14ac:dyDescent="0.25">
      <c r="A262">
        <v>12.9375</v>
      </c>
      <c r="B262">
        <f t="shared" si="33"/>
        <v>257</v>
      </c>
      <c r="C262">
        <f t="shared" si="29"/>
        <v>-4.1970048492278877</v>
      </c>
      <c r="D262">
        <f t="shared" si="30"/>
        <v>12.265050169950204</v>
      </c>
      <c r="E262">
        <f t="shared" si="31"/>
        <v>0.45218877393399992</v>
      </c>
      <c r="F262">
        <f t="shared" si="32"/>
        <v>0.6724498300497963</v>
      </c>
      <c r="G262">
        <f t="shared" si="34"/>
        <v>-0.72848661570373219</v>
      </c>
      <c r="H262">
        <f t="shared" si="35"/>
        <v>11.536563554246472</v>
      </c>
      <c r="S262">
        <v>11.86875</v>
      </c>
      <c r="T262">
        <v>13.97602988728401</v>
      </c>
      <c r="U262">
        <f t="shared" si="36"/>
        <v>-2.1072798872840099</v>
      </c>
      <c r="W262">
        <f t="shared" si="37"/>
        <v>2.1072798872840099</v>
      </c>
    </row>
    <row r="263" spans="1:23" x14ac:dyDescent="0.25">
      <c r="A263">
        <v>8.3312500000000007</v>
      </c>
      <c r="B263">
        <f t="shared" si="33"/>
        <v>258</v>
      </c>
      <c r="C263">
        <f t="shared" ref="C263:C326" si="38">C$2*COS(C$1*B263)+C$3*SIN(C$1*B263)</f>
        <v>-4.0923285826302696</v>
      </c>
      <c r="D263">
        <f t="shared" ref="D263:D326" si="39">$A$2+C263</f>
        <v>12.369726436547822</v>
      </c>
      <c r="E263">
        <f t="shared" ref="E263:E326" si="40">(A263-D263)^2</f>
        <v>16.309291928551989</v>
      </c>
      <c r="F263">
        <f t="shared" ref="F263:F326" si="41">A263-D263</f>
        <v>-4.0384764365478212</v>
      </c>
      <c r="G263">
        <f t="shared" si="34"/>
        <v>0.7265747795484544</v>
      </c>
      <c r="H263">
        <f t="shared" si="35"/>
        <v>13.096301216096276</v>
      </c>
      <c r="S263">
        <v>13.456250000000001</v>
      </c>
      <c r="T263">
        <v>11.69960563962767</v>
      </c>
      <c r="U263">
        <f t="shared" si="36"/>
        <v>1.7566443603723307</v>
      </c>
      <c r="W263">
        <f t="shared" si="37"/>
        <v>1.7566443603723307</v>
      </c>
    </row>
    <row r="264" spans="1:23" x14ac:dyDescent="0.25">
      <c r="A264">
        <v>8.5187500000000007</v>
      </c>
      <c r="B264">
        <f t="shared" ref="B264:B327" si="42">B263+1</f>
        <v>259</v>
      </c>
      <c r="C264">
        <f t="shared" si="38"/>
        <v>-3.9864396707539287</v>
      </c>
      <c r="D264">
        <f t="shared" si="39"/>
        <v>12.475615348424164</v>
      </c>
      <c r="E264">
        <f t="shared" si="40"/>
        <v>15.656783385559873</v>
      </c>
      <c r="F264">
        <f t="shared" si="41"/>
        <v>-3.9568653484241629</v>
      </c>
      <c r="G264">
        <f t="shared" si="34"/>
        <v>-3.770555513139358</v>
      </c>
      <c r="H264">
        <f t="shared" si="35"/>
        <v>8.7050598352848052</v>
      </c>
      <c r="S264">
        <v>11.625</v>
      </c>
      <c r="T264">
        <v>13.869552144041325</v>
      </c>
      <c r="U264">
        <f t="shared" si="36"/>
        <v>-2.2445521440413252</v>
      </c>
      <c r="W264">
        <f t="shared" si="37"/>
        <v>2.2445521440413252</v>
      </c>
    </row>
    <row r="265" spans="1:23" x14ac:dyDescent="0.25">
      <c r="A265">
        <v>11.80625</v>
      </c>
      <c r="B265">
        <f t="shared" si="42"/>
        <v>260</v>
      </c>
      <c r="C265">
        <f t="shared" si="38"/>
        <v>-3.8793694907687342</v>
      </c>
      <c r="D265">
        <f t="shared" si="39"/>
        <v>12.582685528409357</v>
      </c>
      <c r="E265">
        <f t="shared" si="40"/>
        <v>0.60285212977631664</v>
      </c>
      <c r="F265">
        <f t="shared" si="41"/>
        <v>-0.77643552840935648</v>
      </c>
      <c r="G265">
        <f t="shared" si="34"/>
        <v>-1.9564978906047346</v>
      </c>
      <c r="H265">
        <f t="shared" si="35"/>
        <v>10.626187637804623</v>
      </c>
      <c r="S265">
        <v>10.862500000000001</v>
      </c>
      <c r="T265">
        <v>11.716765190856384</v>
      </c>
      <c r="U265">
        <f t="shared" si="36"/>
        <v>-0.85426519085638297</v>
      </c>
      <c r="W265">
        <f t="shared" si="37"/>
        <v>0.85426519085638297</v>
      </c>
    </row>
    <row r="266" spans="1:23" x14ac:dyDescent="0.25">
      <c r="A266">
        <v>12.46875</v>
      </c>
      <c r="B266">
        <f t="shared" si="42"/>
        <v>261</v>
      </c>
      <c r="C266">
        <f t="shared" si="38"/>
        <v>-3.7711497698797687</v>
      </c>
      <c r="D266">
        <f t="shared" si="39"/>
        <v>12.690905249298323</v>
      </c>
      <c r="E266">
        <f t="shared" si="40"/>
        <v>4.9352954790800131E-2</v>
      </c>
      <c r="F266">
        <f t="shared" si="41"/>
        <v>-0.2221552492983232</v>
      </c>
      <c r="G266">
        <f t="shared" ref="G266:G329" si="43">$J$3*F265+$J$4*F264+$J$5*F263</f>
        <v>2.161499150863111E-2</v>
      </c>
      <c r="H266">
        <f t="shared" ref="H266:H329" si="44">D266+G266</f>
        <v>12.712520240806954</v>
      </c>
      <c r="S266">
        <v>9.0312509999999993</v>
      </c>
      <c r="T266">
        <v>11.92887832914248</v>
      </c>
      <c r="U266">
        <f t="shared" si="36"/>
        <v>-2.8976273291424803</v>
      </c>
      <c r="W266">
        <f t="shared" si="37"/>
        <v>2.8976273291424803</v>
      </c>
    </row>
    <row r="267" spans="1:23" x14ac:dyDescent="0.25">
      <c r="A267">
        <v>9.3500010000000007</v>
      </c>
      <c r="B267">
        <f t="shared" si="42"/>
        <v>262</v>
      </c>
      <c r="C267">
        <f t="shared" si="38"/>
        <v>-3.6618125759259099</v>
      </c>
      <c r="D267">
        <f t="shared" si="39"/>
        <v>12.800242443252181</v>
      </c>
      <c r="E267">
        <f t="shared" si="40"/>
        <v>11.904166016734886</v>
      </c>
      <c r="F267">
        <f t="shared" si="41"/>
        <v>-3.45024144325218</v>
      </c>
      <c r="G267">
        <f t="shared" si="43"/>
        <v>-0.51717178749985004</v>
      </c>
      <c r="H267">
        <f t="shared" si="44"/>
        <v>12.283070655752331</v>
      </c>
      <c r="S267">
        <v>9.050001</v>
      </c>
      <c r="T267">
        <v>10.394229142857295</v>
      </c>
      <c r="U267">
        <f t="shared" si="36"/>
        <v>-1.3442281428572951</v>
      </c>
      <c r="W267">
        <f t="shared" si="37"/>
        <v>1.3442281428572951</v>
      </c>
    </row>
    <row r="268" spans="1:23" x14ac:dyDescent="0.25">
      <c r="A268">
        <v>12.768750000000001</v>
      </c>
      <c r="B268">
        <f t="shared" si="42"/>
        <v>263</v>
      </c>
      <c r="C268">
        <f t="shared" si="38"/>
        <v>-3.5513903078774223</v>
      </c>
      <c r="D268">
        <f t="shared" si="39"/>
        <v>12.910664711300669</v>
      </c>
      <c r="E268">
        <f t="shared" si="40"/>
        <v>2.013978528355195E-2</v>
      </c>
      <c r="F268">
        <f t="shared" si="41"/>
        <v>-0.14191471130066802</v>
      </c>
      <c r="G268">
        <f t="shared" si="43"/>
        <v>-2.9631664481079301</v>
      </c>
      <c r="H268">
        <f t="shared" si="44"/>
        <v>9.9474982631927382</v>
      </c>
      <c r="S268">
        <v>10.050000000000001</v>
      </c>
      <c r="T268">
        <v>10.924937901020947</v>
      </c>
      <c r="U268">
        <f t="shared" si="36"/>
        <v>-0.87493790102094593</v>
      </c>
      <c r="W268">
        <f t="shared" si="37"/>
        <v>0.87493790102094593</v>
      </c>
    </row>
    <row r="269" spans="1:23" x14ac:dyDescent="0.25">
      <c r="A269">
        <v>11.86875</v>
      </c>
      <c r="B269">
        <f t="shared" si="42"/>
        <v>264</v>
      </c>
      <c r="C269">
        <f t="shared" si="38"/>
        <v>-3.439915686235425</v>
      </c>
      <c r="D269">
        <f t="shared" si="39"/>
        <v>13.022139332942666</v>
      </c>
      <c r="E269">
        <f t="shared" si="40"/>
        <v>1.3303069533459282</v>
      </c>
      <c r="F269">
        <f t="shared" si="41"/>
        <v>-1.1533893329426661</v>
      </c>
      <c r="G269">
        <f t="shared" si="43"/>
        <v>0.95389055434134351</v>
      </c>
      <c r="H269">
        <f t="shared" si="44"/>
        <v>13.97602988728401</v>
      </c>
      <c r="S269">
        <v>11.53125</v>
      </c>
      <c r="T269">
        <v>11.537178223013992</v>
      </c>
      <c r="U269">
        <f t="shared" si="36"/>
        <v>-5.9282230139920955E-3</v>
      </c>
      <c r="W269">
        <f t="shared" si="37"/>
        <v>5.9282230139920955E-3</v>
      </c>
    </row>
    <row r="270" spans="1:23" x14ac:dyDescent="0.25">
      <c r="A270">
        <v>13.456250000000001</v>
      </c>
      <c r="B270">
        <f t="shared" si="42"/>
        <v>265</v>
      </c>
      <c r="C270">
        <f t="shared" si="38"/>
        <v>-3.3274217433361404</v>
      </c>
      <c r="D270">
        <f t="shared" si="39"/>
        <v>13.134633275841951</v>
      </c>
      <c r="E270">
        <f t="shared" si="40"/>
        <v>0.103437317258155</v>
      </c>
      <c r="F270">
        <f t="shared" si="41"/>
        <v>0.32161672415804965</v>
      </c>
      <c r="G270">
        <f t="shared" si="43"/>
        <v>-1.4350276362142804</v>
      </c>
      <c r="H270">
        <f t="shared" si="44"/>
        <v>11.69960563962767</v>
      </c>
      <c r="S270">
        <v>12.775</v>
      </c>
      <c r="T270">
        <v>12.512677394097816</v>
      </c>
      <c r="U270">
        <f t="shared" si="36"/>
        <v>0.26232260590218459</v>
      </c>
      <c r="W270">
        <f t="shared" si="37"/>
        <v>0.26232260590218459</v>
      </c>
    </row>
    <row r="271" spans="1:23" x14ac:dyDescent="0.25">
      <c r="A271">
        <v>11.625</v>
      </c>
      <c r="B271">
        <f t="shared" si="42"/>
        <v>266</v>
      </c>
      <c r="C271">
        <f t="shared" si="38"/>
        <v>-3.2139418135626574</v>
      </c>
      <c r="D271">
        <f t="shared" si="39"/>
        <v>13.248113205615434</v>
      </c>
      <c r="E271">
        <f t="shared" si="40"/>
        <v>2.6344964782432103</v>
      </c>
      <c r="F271">
        <f t="shared" si="41"/>
        <v>-1.623113205615434</v>
      </c>
      <c r="G271">
        <f t="shared" si="43"/>
        <v>0.62143893842589026</v>
      </c>
      <c r="H271">
        <f t="shared" si="44"/>
        <v>13.869552144041325</v>
      </c>
      <c r="S271">
        <v>12.975</v>
      </c>
      <c r="T271">
        <v>13.276354116356709</v>
      </c>
      <c r="U271">
        <f t="shared" si="36"/>
        <v>-0.30135411635670906</v>
      </c>
      <c r="W271">
        <f t="shared" si="37"/>
        <v>0.30135411635670906</v>
      </c>
    </row>
    <row r="272" spans="1:23" x14ac:dyDescent="0.25">
      <c r="A272">
        <v>10.862500000000001</v>
      </c>
      <c r="B272">
        <f t="shared" si="42"/>
        <v>267</v>
      </c>
      <c r="C272">
        <f t="shared" si="38"/>
        <v>-3.0995095234672707</v>
      </c>
      <c r="D272">
        <f t="shared" si="39"/>
        <v>13.362545495710821</v>
      </c>
      <c r="E272">
        <f t="shared" si="40"/>
        <v>6.2502274806239599</v>
      </c>
      <c r="F272">
        <f t="shared" si="41"/>
        <v>-2.50004549571082</v>
      </c>
      <c r="G272">
        <f t="shared" si="43"/>
        <v>-1.6457803048544366</v>
      </c>
      <c r="H272">
        <f t="shared" si="44"/>
        <v>11.716765190856384</v>
      </c>
      <c r="S272">
        <v>16.7</v>
      </c>
      <c r="T272">
        <v>13.303079127060325</v>
      </c>
      <c r="U272">
        <f t="shared" si="36"/>
        <v>3.396920872939674</v>
      </c>
      <c r="W272">
        <f t="shared" si="37"/>
        <v>3.396920872939674</v>
      </c>
    </row>
    <row r="273" spans="1:23" x14ac:dyDescent="0.25">
      <c r="A273">
        <v>9.0312509999999993</v>
      </c>
      <c r="B273">
        <f t="shared" si="42"/>
        <v>268</v>
      </c>
      <c r="C273">
        <f t="shared" si="38"/>
        <v>-2.9841587818071917</v>
      </c>
      <c r="D273">
        <f t="shared" si="39"/>
        <v>13.477896237370899</v>
      </c>
      <c r="E273">
        <f t="shared" si="40"/>
        <v>19.772653867033309</v>
      </c>
      <c r="F273">
        <f t="shared" si="41"/>
        <v>-4.4466452373709</v>
      </c>
      <c r="G273">
        <f t="shared" si="43"/>
        <v>-1.5490179082284197</v>
      </c>
      <c r="H273">
        <f t="shared" si="44"/>
        <v>11.92887832914248</v>
      </c>
      <c r="S273">
        <v>20.5</v>
      </c>
      <c r="T273">
        <v>16.614299217245609</v>
      </c>
      <c r="U273">
        <f t="shared" si="36"/>
        <v>3.885700782754391</v>
      </c>
      <c r="W273">
        <f t="shared" si="37"/>
        <v>3.885700782754391</v>
      </c>
    </row>
    <row r="274" spans="1:23" x14ac:dyDescent="0.25">
      <c r="A274">
        <v>9.050001</v>
      </c>
      <c r="B274">
        <f t="shared" si="42"/>
        <v>269</v>
      </c>
      <c r="C274">
        <f t="shared" si="38"/>
        <v>-2.8679237694966364</v>
      </c>
      <c r="D274">
        <f t="shared" si="39"/>
        <v>13.594131249681455</v>
      </c>
      <c r="E274">
        <f t="shared" si="40"/>
        <v>20.649119726070044</v>
      </c>
      <c r="F274">
        <f t="shared" si="41"/>
        <v>-4.5441302496814551</v>
      </c>
      <c r="G274">
        <f t="shared" si="43"/>
        <v>-3.1999021068241591</v>
      </c>
      <c r="H274">
        <f t="shared" si="44"/>
        <v>10.394229142857295</v>
      </c>
      <c r="S274">
        <v>16.824999999999999</v>
      </c>
      <c r="T274">
        <v>18.706241265317299</v>
      </c>
      <c r="U274">
        <f t="shared" si="36"/>
        <v>-1.8812412653172998</v>
      </c>
      <c r="W274">
        <f t="shared" si="37"/>
        <v>1.8812412653172998</v>
      </c>
    </row>
    <row r="275" spans="1:23" x14ac:dyDescent="0.25">
      <c r="A275">
        <v>10.050000000000001</v>
      </c>
      <c r="B275">
        <f t="shared" si="42"/>
        <v>270</v>
      </c>
      <c r="C275">
        <f t="shared" si="38"/>
        <v>-2.7508389294783213</v>
      </c>
      <c r="D275">
        <f t="shared" si="39"/>
        <v>13.71121608969977</v>
      </c>
      <c r="E275">
        <f t="shared" si="40"/>
        <v>13.404503255476467</v>
      </c>
      <c r="F275">
        <f t="shared" si="41"/>
        <v>-3.661216089699769</v>
      </c>
      <c r="G275">
        <f t="shared" si="43"/>
        <v>-2.786278188678823</v>
      </c>
      <c r="H275">
        <f t="shared" si="44"/>
        <v>10.924937901020947</v>
      </c>
      <c r="S275">
        <v>26.068750000000001</v>
      </c>
      <c r="T275">
        <v>14.960972719465619</v>
      </c>
      <c r="U275">
        <f t="shared" si="36"/>
        <v>11.107777280534382</v>
      </c>
      <c r="W275">
        <f t="shared" si="37"/>
        <v>11.107777280534382</v>
      </c>
    </row>
    <row r="276" spans="1:23" x14ac:dyDescent="0.25">
      <c r="A276">
        <v>11.53125</v>
      </c>
      <c r="B276">
        <f t="shared" si="42"/>
        <v>271</v>
      </c>
      <c r="C276">
        <f t="shared" si="38"/>
        <v>-2.6329389565172292</v>
      </c>
      <c r="D276">
        <f t="shared" si="39"/>
        <v>13.829116062660862</v>
      </c>
      <c r="E276">
        <f t="shared" si="40"/>
        <v>5.2801884419285336</v>
      </c>
      <c r="F276">
        <f t="shared" si="41"/>
        <v>-2.2978660626608622</v>
      </c>
      <c r="G276">
        <f t="shared" si="43"/>
        <v>-2.2919378396468701</v>
      </c>
      <c r="H276">
        <f t="shared" si="44"/>
        <v>11.537178223013992</v>
      </c>
      <c r="S276">
        <v>23.85</v>
      </c>
      <c r="T276">
        <v>24.561070351200541</v>
      </c>
      <c r="U276">
        <f t="shared" si="36"/>
        <v>-0.71107035120054007</v>
      </c>
      <c r="W276">
        <f t="shared" si="37"/>
        <v>0.71107035120054007</v>
      </c>
    </row>
    <row r="277" spans="1:23" x14ac:dyDescent="0.25">
      <c r="A277">
        <v>12.775</v>
      </c>
      <c r="B277">
        <f t="shared" si="42"/>
        <v>272</v>
      </c>
      <c r="C277">
        <f t="shared" si="38"/>
        <v>-2.5142587869198447</v>
      </c>
      <c r="D277">
        <f t="shared" si="39"/>
        <v>13.947796232258247</v>
      </c>
      <c r="E277">
        <f t="shared" si="40"/>
        <v>1.3754510023991386</v>
      </c>
      <c r="F277">
        <f t="shared" si="41"/>
        <v>-1.1727962322582464</v>
      </c>
      <c r="G277">
        <f t="shared" si="43"/>
        <v>-1.435118838160431</v>
      </c>
      <c r="H277">
        <f t="shared" si="44"/>
        <v>12.512677394097816</v>
      </c>
      <c r="S277">
        <v>18.393750000000001</v>
      </c>
      <c r="T277">
        <v>19.222025258901247</v>
      </c>
      <c r="U277">
        <f t="shared" si="36"/>
        <v>-0.82827525890124676</v>
      </c>
      <c r="W277">
        <f t="shared" si="37"/>
        <v>0.82827525890124676</v>
      </c>
    </row>
    <row r="278" spans="1:23" x14ac:dyDescent="0.25">
      <c r="A278">
        <v>12.975</v>
      </c>
      <c r="B278">
        <f t="shared" si="42"/>
        <v>273</v>
      </c>
      <c r="C278">
        <f t="shared" si="38"/>
        <v>-2.3948335881817533</v>
      </c>
      <c r="D278">
        <f t="shared" si="39"/>
        <v>14.067221430996337</v>
      </c>
      <c r="E278">
        <f t="shared" si="40"/>
        <v>1.1929476543276876</v>
      </c>
      <c r="F278">
        <f t="shared" si="41"/>
        <v>-1.0922214309963376</v>
      </c>
      <c r="G278">
        <f t="shared" si="43"/>
        <v>-0.79086731463962912</v>
      </c>
      <c r="H278">
        <f t="shared" si="44"/>
        <v>13.276354116356709</v>
      </c>
      <c r="S278">
        <v>23.256250000000001</v>
      </c>
      <c r="T278">
        <v>16.705704121379821</v>
      </c>
      <c r="U278">
        <f t="shared" si="36"/>
        <v>6.5505458786201807</v>
      </c>
      <c r="W278">
        <f t="shared" si="37"/>
        <v>6.5505458786201807</v>
      </c>
    </row>
    <row r="279" spans="1:23" x14ac:dyDescent="0.25">
      <c r="A279">
        <v>16.7</v>
      </c>
      <c r="B279">
        <f t="shared" si="42"/>
        <v>274</v>
      </c>
      <c r="C279">
        <f t="shared" si="38"/>
        <v>-2.2746987485667352</v>
      </c>
      <c r="D279">
        <f t="shared" si="39"/>
        <v>14.187356270611357</v>
      </c>
      <c r="E279">
        <f t="shared" si="40"/>
        <v>6.313378510836066</v>
      </c>
      <c r="F279">
        <f t="shared" si="41"/>
        <v>2.5126437293886426</v>
      </c>
      <c r="G279">
        <f t="shared" si="43"/>
        <v>-0.88427714355103182</v>
      </c>
      <c r="H279">
        <f t="shared" si="44"/>
        <v>13.303079127060325</v>
      </c>
      <c r="S279">
        <v>14.775</v>
      </c>
      <c r="T279">
        <v>22.288957951458311</v>
      </c>
      <c r="U279">
        <f t="shared" si="36"/>
        <v>-7.5139579514583108</v>
      </c>
      <c r="W279">
        <f t="shared" si="37"/>
        <v>7.5139579514583108</v>
      </c>
    </row>
    <row r="280" spans="1:23" x14ac:dyDescent="0.25">
      <c r="A280">
        <v>20.5</v>
      </c>
      <c r="B280">
        <f t="shared" si="42"/>
        <v>275</v>
      </c>
      <c r="C280">
        <f t="shared" si="38"/>
        <v>-2.1538898666205033</v>
      </c>
      <c r="D280">
        <f t="shared" si="39"/>
        <v>14.308165152557589</v>
      </c>
      <c r="E280">
        <f t="shared" si="40"/>
        <v>38.338818778002192</v>
      </c>
      <c r="F280">
        <f t="shared" si="41"/>
        <v>6.1918348474424114</v>
      </c>
      <c r="G280">
        <f t="shared" si="43"/>
        <v>2.3061340646880204</v>
      </c>
      <c r="H280">
        <f t="shared" si="44"/>
        <v>16.614299217245609</v>
      </c>
      <c r="S280">
        <v>13.24375</v>
      </c>
      <c r="T280">
        <v>12.793285224557708</v>
      </c>
      <c r="U280">
        <f t="shared" si="36"/>
        <v>0.45046477544229191</v>
      </c>
      <c r="W280">
        <f t="shared" si="37"/>
        <v>0.45046477544229191</v>
      </c>
    </row>
    <row r="281" spans="1:23" x14ac:dyDescent="0.25">
      <c r="A281">
        <v>16.824999999999999</v>
      </c>
      <c r="B281">
        <f t="shared" si="42"/>
        <v>276</v>
      </c>
      <c r="C281">
        <f t="shared" si="38"/>
        <v>-2.0324427406220353</v>
      </c>
      <c r="D281">
        <f t="shared" si="39"/>
        <v>14.429612278556057</v>
      </c>
      <c r="E281">
        <f t="shared" si="40"/>
        <v>5.737882336044402</v>
      </c>
      <c r="F281">
        <f t="shared" si="41"/>
        <v>2.3953877214439423</v>
      </c>
      <c r="G281">
        <f t="shared" si="43"/>
        <v>4.2766289867612421</v>
      </c>
      <c r="H281">
        <f t="shared" si="44"/>
        <v>18.706241265317299</v>
      </c>
      <c r="S281">
        <v>15.206250000000001</v>
      </c>
      <c r="T281">
        <v>14.968494382298221</v>
      </c>
      <c r="U281">
        <f t="shared" si="36"/>
        <v>0.23775561770177944</v>
      </c>
      <c r="W281">
        <f t="shared" si="37"/>
        <v>0.23775561770177944</v>
      </c>
    </row>
    <row r="282" spans="1:23" x14ac:dyDescent="0.25">
      <c r="A282">
        <v>26.068750000000001</v>
      </c>
      <c r="B282">
        <f t="shared" si="42"/>
        <v>277</v>
      </c>
      <c r="C282">
        <f t="shared" si="38"/>
        <v>-1.9103933579758139</v>
      </c>
      <c r="D282">
        <f t="shared" si="39"/>
        <v>14.551661661202278</v>
      </c>
      <c r="E282">
        <f t="shared" si="40"/>
        <v>132.64332380367051</v>
      </c>
      <c r="F282">
        <f t="shared" si="41"/>
        <v>11.517088338797723</v>
      </c>
      <c r="G282">
        <f t="shared" si="43"/>
        <v>0.40931105826334091</v>
      </c>
      <c r="H282">
        <f t="shared" si="44"/>
        <v>14.960972719465619</v>
      </c>
      <c r="S282">
        <v>19.21875</v>
      </c>
      <c r="T282">
        <v>15.923215086109442</v>
      </c>
      <c r="U282">
        <f t="shared" si="36"/>
        <v>3.2955349138905579</v>
      </c>
      <c r="W282">
        <f t="shared" si="37"/>
        <v>3.2955349138905579</v>
      </c>
    </row>
    <row r="283" spans="1:23" x14ac:dyDescent="0.25">
      <c r="A283">
        <v>23.85</v>
      </c>
      <c r="B283">
        <f t="shared" si="42"/>
        <v>278</v>
      </c>
      <c r="C283">
        <f t="shared" si="38"/>
        <v>-1.7877778845479653</v>
      </c>
      <c r="D283">
        <f t="shared" si="39"/>
        <v>14.674277134630126</v>
      </c>
      <c r="E283">
        <f t="shared" si="40"/>
        <v>84.193890102071563</v>
      </c>
      <c r="F283">
        <f t="shared" si="41"/>
        <v>9.1757228653698757</v>
      </c>
      <c r="G283">
        <f t="shared" si="43"/>
        <v>9.8867932165704175</v>
      </c>
      <c r="H283">
        <f t="shared" si="44"/>
        <v>24.561070351200541</v>
      </c>
      <c r="S283">
        <v>15.78125</v>
      </c>
      <c r="T283">
        <v>18.508492595849461</v>
      </c>
      <c r="U283">
        <f t="shared" si="36"/>
        <v>-2.7272425958494608</v>
      </c>
      <c r="W283">
        <f t="shared" si="37"/>
        <v>2.7272425958494608</v>
      </c>
    </row>
    <row r="284" spans="1:23" x14ac:dyDescent="0.25">
      <c r="A284">
        <v>18.393750000000001</v>
      </c>
      <c r="B284">
        <f t="shared" si="42"/>
        <v>279</v>
      </c>
      <c r="C284">
        <f t="shared" si="38"/>
        <v>-1.6646326539495124</v>
      </c>
      <c r="D284">
        <f t="shared" si="39"/>
        <v>14.797422365228579</v>
      </c>
      <c r="E284">
        <f t="shared" si="40"/>
        <v>12.933572456620608</v>
      </c>
      <c r="F284">
        <f t="shared" si="41"/>
        <v>3.5963276347714217</v>
      </c>
      <c r="G284">
        <f t="shared" si="43"/>
        <v>4.4246028936726676</v>
      </c>
      <c r="H284">
        <f t="shared" si="44"/>
        <v>19.222025258901247</v>
      </c>
      <c r="S284">
        <v>14.425000000000001</v>
      </c>
      <c r="T284">
        <v>14.63966714843195</v>
      </c>
      <c r="U284">
        <f t="shared" si="36"/>
        <v>-0.21466714843194978</v>
      </c>
      <c r="W284">
        <f t="shared" si="37"/>
        <v>0.21466714843194978</v>
      </c>
    </row>
    <row r="285" spans="1:23" x14ac:dyDescent="0.25">
      <c r="A285">
        <v>23.256250000000001</v>
      </c>
      <c r="B285">
        <f t="shared" si="42"/>
        <v>280</v>
      </c>
      <c r="C285">
        <f t="shared" si="38"/>
        <v>-1.540994156769985</v>
      </c>
      <c r="D285">
        <f t="shared" si="39"/>
        <v>14.921060862408106</v>
      </c>
      <c r="E285">
        <f t="shared" si="40"/>
        <v>69.47537795942992</v>
      </c>
      <c r="F285">
        <f t="shared" si="41"/>
        <v>8.3351891375918949</v>
      </c>
      <c r="G285">
        <f t="shared" si="43"/>
        <v>1.7846432589717141</v>
      </c>
      <c r="H285">
        <f t="shared" si="44"/>
        <v>16.705704121379821</v>
      </c>
      <c r="S285">
        <v>11.59375</v>
      </c>
      <c r="T285">
        <v>15.22160083645991</v>
      </c>
      <c r="U285">
        <f t="shared" si="36"/>
        <v>-3.6278508364599098</v>
      </c>
      <c r="W285">
        <f t="shared" si="37"/>
        <v>3.6278508364599098</v>
      </c>
    </row>
    <row r="286" spans="1:23" x14ac:dyDescent="0.25">
      <c r="A286">
        <v>14.775</v>
      </c>
      <c r="B286">
        <f t="shared" si="42"/>
        <v>281</v>
      </c>
      <c r="C286">
        <f t="shared" si="38"/>
        <v>-1.4168990297644228</v>
      </c>
      <c r="D286">
        <f t="shared" si="39"/>
        <v>15.045155989413669</v>
      </c>
      <c r="E286">
        <f t="shared" si="40"/>
        <v>7.2984258616078032E-2</v>
      </c>
      <c r="F286">
        <f t="shared" si="41"/>
        <v>-0.27015598941366825</v>
      </c>
      <c r="G286">
        <f t="shared" si="43"/>
        <v>7.2438019620446426</v>
      </c>
      <c r="H286">
        <f t="shared" si="44"/>
        <v>22.288957951458311</v>
      </c>
      <c r="S286">
        <v>12.40625</v>
      </c>
      <c r="T286">
        <v>12.798938236865261</v>
      </c>
      <c r="U286">
        <f t="shared" si="36"/>
        <v>-0.39268823686526133</v>
      </c>
      <c r="W286">
        <f t="shared" si="37"/>
        <v>0.39268823686526133</v>
      </c>
    </row>
    <row r="287" spans="1:23" x14ac:dyDescent="0.25">
      <c r="A287">
        <v>13.24375</v>
      </c>
      <c r="B287">
        <f t="shared" si="42"/>
        <v>282</v>
      </c>
      <c r="C287">
        <f t="shared" si="38"/>
        <v>-1.2923840449971558</v>
      </c>
      <c r="D287">
        <f t="shared" si="39"/>
        <v>15.169670974180935</v>
      </c>
      <c r="E287">
        <f t="shared" si="40"/>
        <v>3.7091715987900402</v>
      </c>
      <c r="F287">
        <f t="shared" si="41"/>
        <v>-1.9259209741809347</v>
      </c>
      <c r="G287">
        <f t="shared" si="43"/>
        <v>-2.376385749623227</v>
      </c>
      <c r="H287">
        <f t="shared" si="44"/>
        <v>12.793285224557708</v>
      </c>
      <c r="S287">
        <v>16.981249999999999</v>
      </c>
      <c r="T287">
        <v>14.238205789553014</v>
      </c>
      <c r="U287">
        <f t="shared" si="36"/>
        <v>2.7430442104469854</v>
      </c>
      <c r="W287">
        <f t="shared" si="37"/>
        <v>2.7430442104469854</v>
      </c>
    </row>
    <row r="288" spans="1:23" x14ac:dyDescent="0.25">
      <c r="A288">
        <v>15.206250000000001</v>
      </c>
      <c r="B288">
        <f t="shared" si="42"/>
        <v>283</v>
      </c>
      <c r="C288">
        <f t="shared" si="38"/>
        <v>-1.1674860989454305</v>
      </c>
      <c r="D288">
        <f t="shared" si="39"/>
        <v>15.294568920232662</v>
      </c>
      <c r="E288">
        <f t="shared" si="40"/>
        <v>7.8002316710631117E-3</v>
      </c>
      <c r="F288">
        <f t="shared" si="41"/>
        <v>-8.8318920232660858E-2</v>
      </c>
      <c r="G288">
        <f t="shared" si="43"/>
        <v>-0.32607453793444008</v>
      </c>
      <c r="H288">
        <f t="shared" si="44"/>
        <v>14.968494382298221</v>
      </c>
      <c r="S288">
        <v>16.28125</v>
      </c>
      <c r="T288">
        <v>17.478773676048977</v>
      </c>
      <c r="U288">
        <f t="shared" si="36"/>
        <v>-1.1975236760489771</v>
      </c>
      <c r="W288">
        <f t="shared" si="37"/>
        <v>1.1975236760489771</v>
      </c>
    </row>
    <row r="289" spans="1:23" x14ac:dyDescent="0.25">
      <c r="A289">
        <v>19.21875</v>
      </c>
      <c r="B289">
        <f t="shared" si="42"/>
        <v>284</v>
      </c>
      <c r="C289">
        <f t="shared" si="38"/>
        <v>-1.0422422015661679</v>
      </c>
      <c r="D289">
        <f t="shared" si="39"/>
        <v>15.419812817611923</v>
      </c>
      <c r="E289">
        <f t="shared" si="40"/>
        <v>14.431923715730658</v>
      </c>
      <c r="F289">
        <f t="shared" si="41"/>
        <v>3.7989371823880766</v>
      </c>
      <c r="G289">
        <f t="shared" si="43"/>
        <v>0.50340226849751812</v>
      </c>
      <c r="H289">
        <f t="shared" si="44"/>
        <v>15.923215086109442</v>
      </c>
      <c r="S289">
        <v>14.487500000000001</v>
      </c>
      <c r="T289">
        <v>15.579248323150077</v>
      </c>
      <c r="U289">
        <f t="shared" si="36"/>
        <v>-1.0917483231500764</v>
      </c>
      <c r="W289">
        <f t="shared" si="37"/>
        <v>1.0917483231500764</v>
      </c>
    </row>
    <row r="290" spans="1:23" x14ac:dyDescent="0.25">
      <c r="A290">
        <v>15.78125</v>
      </c>
      <c r="B290">
        <f t="shared" si="42"/>
        <v>285</v>
      </c>
      <c r="C290">
        <f t="shared" si="38"/>
        <v>-0.9166894653291584</v>
      </c>
      <c r="D290">
        <f t="shared" si="39"/>
        <v>15.545365553848933</v>
      </c>
      <c r="E290">
        <f t="shared" si="40"/>
        <v>5.5641471935995501E-2</v>
      </c>
      <c r="F290">
        <f t="shared" si="41"/>
        <v>0.23588444615106674</v>
      </c>
      <c r="G290">
        <f t="shared" si="43"/>
        <v>2.9631270420005258</v>
      </c>
      <c r="H290">
        <f t="shared" si="44"/>
        <v>18.508492595849461</v>
      </c>
      <c r="S290">
        <v>16.587499999999999</v>
      </c>
      <c r="T290">
        <v>14.995139281575861</v>
      </c>
      <c r="U290">
        <f t="shared" si="36"/>
        <v>1.5923607184241373</v>
      </c>
      <c r="W290">
        <f t="shared" si="37"/>
        <v>1.5923607184241373</v>
      </c>
    </row>
    <row r="291" spans="1:23" x14ac:dyDescent="0.25">
      <c r="A291">
        <v>14.425000000000001</v>
      </c>
      <c r="B291">
        <f t="shared" si="42"/>
        <v>286</v>
      </c>
      <c r="C291">
        <f t="shared" si="38"/>
        <v>-0.79086509421978657</v>
      </c>
      <c r="D291">
        <f t="shared" si="39"/>
        <v>15.671189924958306</v>
      </c>
      <c r="E291">
        <f t="shared" si="40"/>
        <v>1.5529893290675854</v>
      </c>
      <c r="F291">
        <f t="shared" si="41"/>
        <v>-1.2461899249583048</v>
      </c>
      <c r="G291">
        <f t="shared" si="43"/>
        <v>-1.0315227765263548</v>
      </c>
      <c r="H291">
        <f t="shared" si="44"/>
        <v>14.63966714843195</v>
      </c>
      <c r="S291">
        <v>12.918749999999999</v>
      </c>
      <c r="T291">
        <v>17.287546104620578</v>
      </c>
      <c r="U291">
        <f t="shared" si="36"/>
        <v>-4.3687961046205785</v>
      </c>
      <c r="W291">
        <f t="shared" si="37"/>
        <v>4.3687961046205785</v>
      </c>
    </row>
    <row r="292" spans="1:23" x14ac:dyDescent="0.25">
      <c r="A292">
        <v>11.59375</v>
      </c>
      <c r="B292">
        <f t="shared" si="42"/>
        <v>287</v>
      </c>
      <c r="C292">
        <f t="shared" si="38"/>
        <v>-0.66480637271473109</v>
      </c>
      <c r="D292">
        <f t="shared" si="39"/>
        <v>15.797248646463361</v>
      </c>
      <c r="E292">
        <f t="shared" si="40"/>
        <v>17.669400870819306</v>
      </c>
      <c r="F292">
        <f t="shared" si="41"/>
        <v>-4.2034986464633608</v>
      </c>
      <c r="G292">
        <f t="shared" si="43"/>
        <v>-0.57564781000345011</v>
      </c>
      <c r="H292">
        <f t="shared" si="44"/>
        <v>15.22160083645991</v>
      </c>
      <c r="S292">
        <v>15.143750000000001</v>
      </c>
      <c r="T292">
        <v>13.287573351804276</v>
      </c>
      <c r="U292">
        <f t="shared" si="36"/>
        <v>1.8561766481957243</v>
      </c>
      <c r="W292">
        <f t="shared" si="37"/>
        <v>1.8561766481957243</v>
      </c>
    </row>
    <row r="293" spans="1:23" x14ac:dyDescent="0.25">
      <c r="A293">
        <v>12.40625</v>
      </c>
      <c r="B293">
        <f t="shared" si="42"/>
        <v>288</v>
      </c>
      <c r="C293">
        <f t="shared" si="38"/>
        <v>-0.5385506547337493</v>
      </c>
      <c r="D293">
        <f t="shared" si="39"/>
        <v>15.923504364444343</v>
      </c>
      <c r="E293">
        <f t="shared" si="40"/>
        <v>12.371078264202776</v>
      </c>
      <c r="F293">
        <f t="shared" si="41"/>
        <v>-3.5172543644443426</v>
      </c>
      <c r="G293">
        <f t="shared" si="43"/>
        <v>-3.1245661275790821</v>
      </c>
      <c r="H293">
        <f t="shared" si="44"/>
        <v>12.798938236865261</v>
      </c>
      <c r="S293">
        <v>13.1625</v>
      </c>
      <c r="T293">
        <v>16.696118717522182</v>
      </c>
      <c r="U293">
        <f t="shared" si="36"/>
        <v>-3.5336187175221827</v>
      </c>
      <c r="W293">
        <f t="shared" si="37"/>
        <v>3.5336187175221827</v>
      </c>
    </row>
    <row r="294" spans="1:23" x14ac:dyDescent="0.25">
      <c r="A294">
        <v>16.981249999999999</v>
      </c>
      <c r="B294">
        <f t="shared" si="42"/>
        <v>289</v>
      </c>
      <c r="C294">
        <f t="shared" si="38"/>
        <v>-0.41213535257088862</v>
      </c>
      <c r="D294">
        <f t="shared" si="39"/>
        <v>16.049919666607202</v>
      </c>
      <c r="E294">
        <f t="shared" si="40"/>
        <v>0.86737618989753829</v>
      </c>
      <c r="F294">
        <f t="shared" si="41"/>
        <v>0.93133033339279692</v>
      </c>
      <c r="G294">
        <f t="shared" si="43"/>
        <v>-1.8117138770541892</v>
      </c>
      <c r="H294">
        <f t="shared" si="44"/>
        <v>14.238205789553014</v>
      </c>
      <c r="S294">
        <v>15.1</v>
      </c>
      <c r="T294">
        <v>13.810654909691117</v>
      </c>
      <c r="U294">
        <f t="shared" si="36"/>
        <v>1.289345090308883</v>
      </c>
      <c r="W294">
        <f t="shared" si="37"/>
        <v>1.289345090308883</v>
      </c>
    </row>
    <row r="295" spans="1:23" x14ac:dyDescent="0.25">
      <c r="A295">
        <v>16.28125</v>
      </c>
      <c r="B295">
        <f t="shared" si="42"/>
        <v>290</v>
      </c>
      <c r="C295">
        <f t="shared" si="38"/>
        <v>-0.28559792580845866</v>
      </c>
      <c r="D295">
        <f t="shared" si="39"/>
        <v>16.176457093369631</v>
      </c>
      <c r="E295">
        <f t="shared" si="40"/>
        <v>1.0981553280041188E-2</v>
      </c>
      <c r="F295">
        <f t="shared" si="41"/>
        <v>0.10479290663036878</v>
      </c>
      <c r="G295">
        <f t="shared" si="43"/>
        <v>1.3023165826793455</v>
      </c>
      <c r="H295">
        <f t="shared" si="44"/>
        <v>17.478773676048977</v>
      </c>
      <c r="S295">
        <v>15.918749999999999</v>
      </c>
      <c r="T295">
        <v>16.452755903391886</v>
      </c>
      <c r="U295">
        <f t="shared" si="36"/>
        <v>-0.53400590339188625</v>
      </c>
      <c r="W295">
        <f t="shared" si="37"/>
        <v>0.53400590339188625</v>
      </c>
    </row>
    <row r="296" spans="1:23" x14ac:dyDescent="0.25">
      <c r="A296">
        <v>14.487500000000001</v>
      </c>
      <c r="B296">
        <f t="shared" si="42"/>
        <v>291</v>
      </c>
      <c r="C296">
        <f t="shared" si="38"/>
        <v>-0.15897587021689707</v>
      </c>
      <c r="D296">
        <f t="shared" si="39"/>
        <v>16.303079148961196</v>
      </c>
      <c r="E296">
        <f t="shared" si="40"/>
        <v>3.2963276461426569</v>
      </c>
      <c r="F296">
        <f t="shared" si="41"/>
        <v>-1.815579148961195</v>
      </c>
      <c r="G296">
        <f t="shared" si="43"/>
        <v>-0.72383082581111824</v>
      </c>
      <c r="H296">
        <f t="shared" si="44"/>
        <v>15.579248323150077</v>
      </c>
      <c r="S296">
        <v>13.6875</v>
      </c>
      <c r="T296">
        <v>16.276364444506616</v>
      </c>
      <c r="U296">
        <f t="shared" si="36"/>
        <v>-2.5888644445066156</v>
      </c>
      <c r="W296">
        <f t="shared" si="37"/>
        <v>2.5888644445066156</v>
      </c>
    </row>
    <row r="297" spans="1:23" x14ac:dyDescent="0.25">
      <c r="A297">
        <v>16.587499999999999</v>
      </c>
      <c r="B297">
        <f t="shared" si="42"/>
        <v>292</v>
      </c>
      <c r="C297">
        <f t="shared" si="38"/>
        <v>-3.2306706644010141E-2</v>
      </c>
      <c r="D297">
        <f t="shared" si="39"/>
        <v>16.42974831253408</v>
      </c>
      <c r="E297">
        <f t="shared" si="40"/>
        <v>2.4885594898344722E-2</v>
      </c>
      <c r="F297">
        <f t="shared" si="41"/>
        <v>0.15775168746591817</v>
      </c>
      <c r="G297">
        <f t="shared" si="43"/>
        <v>-1.4346090309582193</v>
      </c>
      <c r="H297">
        <f t="shared" si="44"/>
        <v>14.995139281575861</v>
      </c>
      <c r="S297">
        <v>16.725000000000001</v>
      </c>
      <c r="T297">
        <v>14.449060803349951</v>
      </c>
      <c r="U297">
        <f t="shared" si="36"/>
        <v>2.2759391966500502</v>
      </c>
      <c r="W297">
        <f t="shared" si="37"/>
        <v>2.2759391966500502</v>
      </c>
    </row>
    <row r="298" spans="1:23" x14ac:dyDescent="0.25">
      <c r="A298">
        <v>12.918749999999999</v>
      </c>
      <c r="B298">
        <f t="shared" si="42"/>
        <v>293</v>
      </c>
      <c r="C298">
        <f t="shared" si="38"/>
        <v>9.4372030103285542E-2</v>
      </c>
      <c r="D298">
        <f t="shared" si="39"/>
        <v>16.556427049281378</v>
      </c>
      <c r="E298">
        <f t="shared" si="40"/>
        <v>13.23269431486848</v>
      </c>
      <c r="F298">
        <f t="shared" si="41"/>
        <v>-3.637677049281379</v>
      </c>
      <c r="G298">
        <f t="shared" si="43"/>
        <v>0.73111905533919852</v>
      </c>
      <c r="H298">
        <f t="shared" si="44"/>
        <v>17.287546104620578</v>
      </c>
      <c r="S298">
        <v>21.668749999999999</v>
      </c>
      <c r="T298">
        <v>17.896859653292868</v>
      </c>
      <c r="U298">
        <f t="shared" si="36"/>
        <v>3.7718903467071314</v>
      </c>
      <c r="W298">
        <f t="shared" si="37"/>
        <v>3.7718903467071314</v>
      </c>
    </row>
    <row r="299" spans="1:23" x14ac:dyDescent="0.25">
      <c r="A299">
        <v>15.143750000000001</v>
      </c>
      <c r="B299">
        <f t="shared" si="42"/>
        <v>294</v>
      </c>
      <c r="C299">
        <f t="shared" si="38"/>
        <v>0.22102280238135208</v>
      </c>
      <c r="D299">
        <f t="shared" si="39"/>
        <v>16.683077821559444</v>
      </c>
      <c r="E299">
        <f t="shared" si="40"/>
        <v>2.3695301422269397</v>
      </c>
      <c r="F299">
        <f t="shared" si="41"/>
        <v>-1.5393278215594428</v>
      </c>
      <c r="G299">
        <f t="shared" si="43"/>
        <v>-3.3955044697551662</v>
      </c>
      <c r="H299">
        <f t="shared" si="44"/>
        <v>13.287573351804276</v>
      </c>
      <c r="S299">
        <v>20.662500000000001</v>
      </c>
      <c r="T299">
        <v>20.823077574378424</v>
      </c>
      <c r="U299">
        <f t="shared" si="36"/>
        <v>-0.16057757437842213</v>
      </c>
      <c r="W299">
        <f t="shared" si="37"/>
        <v>0.16057757437842213</v>
      </c>
    </row>
    <row r="300" spans="1:23" x14ac:dyDescent="0.25">
      <c r="A300">
        <v>13.1625</v>
      </c>
      <c r="B300">
        <f t="shared" si="42"/>
        <v>295</v>
      </c>
      <c r="C300">
        <f t="shared" si="38"/>
        <v>0.34760808083300399</v>
      </c>
      <c r="D300">
        <f t="shared" si="39"/>
        <v>16.809663100011097</v>
      </c>
      <c r="E300">
        <f t="shared" si="40"/>
        <v>13.301798678082555</v>
      </c>
      <c r="F300">
        <f t="shared" si="41"/>
        <v>-3.6471631000110971</v>
      </c>
      <c r="G300">
        <f t="shared" si="43"/>
        <v>-0.11354438248891553</v>
      </c>
      <c r="H300">
        <f t="shared" si="44"/>
        <v>16.696118717522182</v>
      </c>
      <c r="S300">
        <v>12.6625</v>
      </c>
      <c r="T300">
        <v>18.870324306927841</v>
      </c>
      <c r="U300">
        <f t="shared" si="36"/>
        <v>-6.2078243069278418</v>
      </c>
      <c r="W300">
        <f t="shared" si="37"/>
        <v>6.2078243069278418</v>
      </c>
    </row>
    <row r="301" spans="1:23" x14ac:dyDescent="0.25">
      <c r="A301">
        <v>15.1</v>
      </c>
      <c r="B301">
        <f t="shared" si="42"/>
        <v>296</v>
      </c>
      <c r="C301">
        <f t="shared" si="38"/>
        <v>0.47409035550831513</v>
      </c>
      <c r="D301">
        <f t="shared" si="39"/>
        <v>16.936145374686408</v>
      </c>
      <c r="E301">
        <f t="shared" si="40"/>
        <v>3.3714298369822906</v>
      </c>
      <c r="F301">
        <f t="shared" si="41"/>
        <v>-1.8361453746864083</v>
      </c>
      <c r="G301">
        <f t="shared" si="43"/>
        <v>-3.1254904649952908</v>
      </c>
      <c r="H301">
        <f t="shared" si="44"/>
        <v>13.810654909691117</v>
      </c>
      <c r="S301">
        <v>13.581250000000001</v>
      </c>
      <c r="T301">
        <v>13.183187130136371</v>
      </c>
      <c r="U301">
        <f t="shared" si="36"/>
        <v>0.39806286986362949</v>
      </c>
      <c r="W301">
        <f t="shared" si="37"/>
        <v>0.39806286986362949</v>
      </c>
    </row>
    <row r="302" spans="1:23" x14ac:dyDescent="0.25">
      <c r="A302">
        <v>15.918749999999999</v>
      </c>
      <c r="B302">
        <f t="shared" si="42"/>
        <v>297</v>
      </c>
      <c r="C302">
        <f t="shared" si="38"/>
        <v>0.60043214697958103</v>
      </c>
      <c r="D302">
        <f t="shared" si="39"/>
        <v>17.062487166157673</v>
      </c>
      <c r="E302">
        <f t="shared" si="40"/>
        <v>1.3081347052503869</v>
      </c>
      <c r="F302">
        <f t="shared" si="41"/>
        <v>-1.1437371661576741</v>
      </c>
      <c r="G302">
        <f t="shared" si="43"/>
        <v>-0.60973126276578915</v>
      </c>
      <c r="H302">
        <f t="shared" si="44"/>
        <v>16.452755903391886</v>
      </c>
      <c r="S302">
        <v>15</v>
      </c>
      <c r="T302">
        <v>16.420108990657511</v>
      </c>
      <c r="U302">
        <f t="shared" si="36"/>
        <v>-1.4201089906575106</v>
      </c>
      <c r="W302">
        <f t="shared" si="37"/>
        <v>1.4201089906575106</v>
      </c>
    </row>
    <row r="303" spans="1:23" x14ac:dyDescent="0.25">
      <c r="A303">
        <v>13.6875</v>
      </c>
      <c r="B303">
        <f t="shared" si="42"/>
        <v>298</v>
      </c>
      <c r="C303">
        <f t="shared" si="38"/>
        <v>0.7265960174473034</v>
      </c>
      <c r="D303">
        <f t="shared" si="39"/>
        <v>17.188651036625394</v>
      </c>
      <c r="E303">
        <f t="shared" si="40"/>
        <v>12.258058581263073</v>
      </c>
      <c r="F303">
        <f t="shared" si="41"/>
        <v>-3.5011510366253944</v>
      </c>
      <c r="G303">
        <f t="shared" si="43"/>
        <v>-0.91228659211877716</v>
      </c>
      <c r="H303">
        <f t="shared" si="44"/>
        <v>16.276364444506616</v>
      </c>
      <c r="S303">
        <v>16.100000000000001</v>
      </c>
      <c r="T303">
        <v>16.198133506174631</v>
      </c>
      <c r="U303">
        <f t="shared" si="36"/>
        <v>-9.8133506174630014E-2</v>
      </c>
      <c r="W303">
        <f t="shared" si="37"/>
        <v>9.8133506174630014E-2</v>
      </c>
    </row>
    <row r="304" spans="1:23" x14ac:dyDescent="0.25">
      <c r="A304">
        <v>16.725000000000001</v>
      </c>
      <c r="B304">
        <f t="shared" si="42"/>
        <v>299</v>
      </c>
      <c r="C304">
        <f t="shared" si="38"/>
        <v>0.85254458183383575</v>
      </c>
      <c r="D304">
        <f t="shared" si="39"/>
        <v>17.314599601011928</v>
      </c>
      <c r="E304">
        <f t="shared" si="40"/>
        <v>0.3476276895134226</v>
      </c>
      <c r="F304">
        <f t="shared" si="41"/>
        <v>-0.58959960101192621</v>
      </c>
      <c r="G304">
        <f t="shared" si="43"/>
        <v>-2.8655387976619773</v>
      </c>
      <c r="H304">
        <f t="shared" si="44"/>
        <v>14.449060803349951</v>
      </c>
      <c r="S304">
        <v>15.331250000000001</v>
      </c>
      <c r="T304">
        <v>16.848804343959102</v>
      </c>
      <c r="U304">
        <f t="shared" si="36"/>
        <v>-1.5175543439591017</v>
      </c>
      <c r="W304">
        <f t="shared" si="37"/>
        <v>1.5175543439591017</v>
      </c>
    </row>
    <row r="305" spans="1:23" x14ac:dyDescent="0.25">
      <c r="A305">
        <v>21.668749999999999</v>
      </c>
      <c r="B305">
        <f t="shared" si="42"/>
        <v>300</v>
      </c>
      <c r="C305">
        <f t="shared" si="38"/>
        <v>0.97824051886134633</v>
      </c>
      <c r="D305">
        <f t="shared" si="39"/>
        <v>17.440295538039436</v>
      </c>
      <c r="E305">
        <f t="shared" si="40"/>
        <v>17.879827136874198</v>
      </c>
      <c r="F305">
        <f t="shared" si="41"/>
        <v>4.2284544619605633</v>
      </c>
      <c r="G305">
        <f t="shared" si="43"/>
        <v>0.45656411525343099</v>
      </c>
      <c r="H305">
        <f t="shared" si="44"/>
        <v>17.896859653292868</v>
      </c>
      <c r="S305">
        <v>16.15625</v>
      </c>
      <c r="T305">
        <v>16.092473349413481</v>
      </c>
      <c r="U305">
        <f t="shared" si="36"/>
        <v>6.3776650586518713E-2</v>
      </c>
      <c r="W305">
        <f t="shared" si="37"/>
        <v>6.3776650586518713E-2</v>
      </c>
    </row>
    <row r="306" spans="1:23" x14ac:dyDescent="0.25">
      <c r="A306">
        <v>20.662500000000001</v>
      </c>
      <c r="B306">
        <f t="shared" si="42"/>
        <v>301</v>
      </c>
      <c r="C306">
        <f t="shared" si="38"/>
        <v>1.1036465821109647</v>
      </c>
      <c r="D306">
        <f t="shared" si="39"/>
        <v>17.565701601289057</v>
      </c>
      <c r="E306">
        <f t="shared" si="40"/>
        <v>9.5901603222586722</v>
      </c>
      <c r="F306">
        <f t="shared" si="41"/>
        <v>3.0967983987109449</v>
      </c>
      <c r="G306">
        <f t="shared" si="43"/>
        <v>3.2573759730893679</v>
      </c>
      <c r="H306">
        <f t="shared" si="44"/>
        <v>20.823077574378424</v>
      </c>
      <c r="S306">
        <v>20.931249999999999</v>
      </c>
      <c r="T306">
        <v>17.23794679959925</v>
      </c>
      <c r="U306">
        <f t="shared" si="36"/>
        <v>3.6933032004007487</v>
      </c>
      <c r="W306">
        <f t="shared" si="37"/>
        <v>3.6933032004007487</v>
      </c>
    </row>
    <row r="307" spans="1:23" x14ac:dyDescent="0.25">
      <c r="A307">
        <v>12.6625</v>
      </c>
      <c r="B307">
        <f t="shared" si="42"/>
        <v>302</v>
      </c>
      <c r="C307">
        <f t="shared" si="38"/>
        <v>1.2287256110596592</v>
      </c>
      <c r="D307">
        <f t="shared" si="39"/>
        <v>17.69078063023775</v>
      </c>
      <c r="E307">
        <f t="shared" si="40"/>
        <v>25.283606096424151</v>
      </c>
      <c r="F307">
        <f t="shared" si="41"/>
        <v>-5.0282806302377505</v>
      </c>
      <c r="G307">
        <f t="shared" si="43"/>
        <v>1.1795436766900911</v>
      </c>
      <c r="H307">
        <f t="shared" si="44"/>
        <v>18.870324306927841</v>
      </c>
      <c r="S307">
        <v>17.625</v>
      </c>
      <c r="T307">
        <v>20.94313540674754</v>
      </c>
      <c r="U307">
        <f t="shared" si="36"/>
        <v>-3.3181354067475404</v>
      </c>
      <c r="W307">
        <f t="shared" si="37"/>
        <v>3.3181354067475404</v>
      </c>
    </row>
    <row r="308" spans="1:23" x14ac:dyDescent="0.25">
      <c r="A308">
        <v>13.581250000000001</v>
      </c>
      <c r="B308">
        <f t="shared" si="42"/>
        <v>303</v>
      </c>
      <c r="C308">
        <f t="shared" si="38"/>
        <v>1.3534405420917199</v>
      </c>
      <c r="D308">
        <f t="shared" si="39"/>
        <v>17.815495561269813</v>
      </c>
      <c r="E308">
        <f t="shared" si="40"/>
        <v>17.928835473133109</v>
      </c>
      <c r="F308">
        <f t="shared" si="41"/>
        <v>-4.2342455612698124</v>
      </c>
      <c r="G308">
        <f t="shared" si="43"/>
        <v>-4.632308431133441</v>
      </c>
      <c r="H308">
        <f t="shared" si="44"/>
        <v>13.183187130136371</v>
      </c>
      <c r="S308">
        <v>15.518750000000001</v>
      </c>
      <c r="T308">
        <v>16.772593071752055</v>
      </c>
      <c r="U308">
        <f t="shared" si="36"/>
        <v>-1.2538430717520548</v>
      </c>
      <c r="W308">
        <f t="shared" si="37"/>
        <v>1.2538430717520548</v>
      </c>
    </row>
    <row r="309" spans="1:23" x14ac:dyDescent="0.25">
      <c r="A309">
        <v>15</v>
      </c>
      <c r="B309">
        <f t="shared" si="42"/>
        <v>304</v>
      </c>
      <c r="C309">
        <f t="shared" si="38"/>
        <v>1.4777544194815264</v>
      </c>
      <c r="D309">
        <f t="shared" si="39"/>
        <v>17.939809438659619</v>
      </c>
      <c r="E309">
        <f t="shared" si="40"/>
        <v>8.6424795356321855</v>
      </c>
      <c r="F309">
        <f t="shared" si="41"/>
        <v>-2.9398094386596192</v>
      </c>
      <c r="G309">
        <f t="shared" si="43"/>
        <v>-1.5197004480021079</v>
      </c>
      <c r="H309">
        <f t="shared" si="44"/>
        <v>16.420108990657511</v>
      </c>
      <c r="S309">
        <v>17.78125</v>
      </c>
      <c r="T309">
        <v>16.786484387643331</v>
      </c>
      <c r="U309">
        <f t="shared" si="36"/>
        <v>0.99476561235666949</v>
      </c>
      <c r="W309">
        <f t="shared" si="37"/>
        <v>0.99476561235666949</v>
      </c>
    </row>
    <row r="310" spans="1:23" x14ac:dyDescent="0.25">
      <c r="A310">
        <v>16.100000000000001</v>
      </c>
      <c r="B310">
        <f t="shared" si="42"/>
        <v>305</v>
      </c>
      <c r="C310">
        <f t="shared" si="38"/>
        <v>1.6016304063442817</v>
      </c>
      <c r="D310">
        <f t="shared" si="39"/>
        <v>18.063685425522372</v>
      </c>
      <c r="E310">
        <f t="shared" si="40"/>
        <v>3.8560604504089753</v>
      </c>
      <c r="F310">
        <f t="shared" si="41"/>
        <v>-1.963685425522371</v>
      </c>
      <c r="G310">
        <f t="shared" si="43"/>
        <v>-1.8655519193477401</v>
      </c>
      <c r="H310">
        <f t="shared" si="44"/>
        <v>16.198133506174631</v>
      </c>
      <c r="S310">
        <v>21.006250000000001</v>
      </c>
      <c r="T310">
        <v>18.93319901804275</v>
      </c>
      <c r="U310">
        <f t="shared" si="36"/>
        <v>2.0730509819572518</v>
      </c>
      <c r="W310">
        <f t="shared" si="37"/>
        <v>2.0730509819572518</v>
      </c>
    </row>
    <row r="311" spans="1:23" x14ac:dyDescent="0.25">
      <c r="A311">
        <v>15.331250000000001</v>
      </c>
      <c r="B311">
        <f t="shared" si="42"/>
        <v>306</v>
      </c>
      <c r="C311">
        <f t="shared" si="38"/>
        <v>1.7250317955516279</v>
      </c>
      <c r="D311">
        <f t="shared" si="39"/>
        <v>18.187086814729721</v>
      </c>
      <c r="E311">
        <f t="shared" si="40"/>
        <v>8.1558039123655934</v>
      </c>
      <c r="F311">
        <f t="shared" si="41"/>
        <v>-2.8558368147297202</v>
      </c>
      <c r="G311">
        <f t="shared" si="43"/>
        <v>-1.3382824707706191</v>
      </c>
      <c r="H311">
        <f t="shared" si="44"/>
        <v>16.848804343959102</v>
      </c>
      <c r="S311">
        <v>24.925000000000001</v>
      </c>
      <c r="T311">
        <v>20.668766700595995</v>
      </c>
      <c r="U311">
        <f t="shared" si="36"/>
        <v>4.2562332994040055</v>
      </c>
      <c r="W311">
        <f t="shared" si="37"/>
        <v>4.2562332994040055</v>
      </c>
    </row>
    <row r="312" spans="1:23" x14ac:dyDescent="0.25">
      <c r="A312">
        <v>16.15625</v>
      </c>
      <c r="B312">
        <f t="shared" si="42"/>
        <v>307</v>
      </c>
      <c r="C312">
        <f t="shared" si="38"/>
        <v>1.8479220206087175</v>
      </c>
      <c r="D312">
        <f t="shared" si="39"/>
        <v>18.309977039786808</v>
      </c>
      <c r="E312">
        <f t="shared" si="40"/>
        <v>4.6385401619088489</v>
      </c>
      <c r="F312">
        <f t="shared" si="41"/>
        <v>-2.1537270397868085</v>
      </c>
      <c r="G312">
        <f t="shared" si="43"/>
        <v>-2.2175036903733276</v>
      </c>
      <c r="H312">
        <f t="shared" si="44"/>
        <v>16.092473349413481</v>
      </c>
      <c r="S312">
        <v>22.8</v>
      </c>
      <c r="T312">
        <v>23.320991000384343</v>
      </c>
      <c r="U312">
        <f t="shared" si="36"/>
        <v>-0.52099100038434187</v>
      </c>
      <c r="W312">
        <f t="shared" si="37"/>
        <v>0.52099100038434187</v>
      </c>
    </row>
    <row r="313" spans="1:23" x14ac:dyDescent="0.25">
      <c r="A313">
        <v>20.931249999999999</v>
      </c>
      <c r="B313">
        <f t="shared" si="42"/>
        <v>308</v>
      </c>
      <c r="C313">
        <f t="shared" si="38"/>
        <v>1.9702646664896706</v>
      </c>
      <c r="D313">
        <f t="shared" si="39"/>
        <v>18.43231968566776</v>
      </c>
      <c r="E313">
        <f t="shared" si="40"/>
        <v>6.244652715888618</v>
      </c>
      <c r="F313">
        <f t="shared" si="41"/>
        <v>2.4989303143322381</v>
      </c>
      <c r="G313">
        <f t="shared" si="43"/>
        <v>-1.1943728860685092</v>
      </c>
      <c r="H313">
        <f t="shared" si="44"/>
        <v>17.23794679959925</v>
      </c>
      <c r="S313">
        <v>18.5</v>
      </c>
      <c r="T313">
        <v>20.774428063313049</v>
      </c>
      <c r="U313">
        <f t="shared" si="36"/>
        <v>-2.2744280633130494</v>
      </c>
      <c r="W313">
        <f t="shared" si="37"/>
        <v>2.2744280633130494</v>
      </c>
    </row>
    <row r="314" spans="1:23" x14ac:dyDescent="0.25">
      <c r="A314">
        <v>17.625</v>
      </c>
      <c r="B314">
        <f t="shared" si="42"/>
        <v>309</v>
      </c>
      <c r="C314">
        <f t="shared" si="38"/>
        <v>2.0920234804281552</v>
      </c>
      <c r="D314">
        <f t="shared" si="39"/>
        <v>18.554078499606248</v>
      </c>
      <c r="E314">
        <f t="shared" si="40"/>
        <v>0.86318685843059784</v>
      </c>
      <c r="F314">
        <f t="shared" si="41"/>
        <v>-0.92907849960624844</v>
      </c>
      <c r="G314">
        <f t="shared" si="43"/>
        <v>2.3890569071412906</v>
      </c>
      <c r="H314">
        <f t="shared" si="44"/>
        <v>20.94313540674754</v>
      </c>
      <c r="S314">
        <v>18.462499999999999</v>
      </c>
      <c r="T314">
        <v>18.425802244475889</v>
      </c>
      <c r="U314">
        <f t="shared" si="36"/>
        <v>3.6697755524109255E-2</v>
      </c>
      <c r="W314">
        <f t="shared" si="37"/>
        <v>3.6697755524109255E-2</v>
      </c>
    </row>
    <row r="315" spans="1:23" x14ac:dyDescent="0.25">
      <c r="A315">
        <v>15.518750000000001</v>
      </c>
      <c r="B315">
        <f t="shared" si="42"/>
        <v>310</v>
      </c>
      <c r="C315">
        <f t="shared" si="38"/>
        <v>2.2131623826598181</v>
      </c>
      <c r="D315">
        <f t="shared" si="39"/>
        <v>18.675217401837909</v>
      </c>
      <c r="E315">
        <f t="shared" si="40"/>
        <v>9.9632864588653529</v>
      </c>
      <c r="F315">
        <f t="shared" si="41"/>
        <v>-3.156467401837908</v>
      </c>
      <c r="G315">
        <f t="shared" si="43"/>
        <v>-1.9026243300858514</v>
      </c>
      <c r="H315">
        <f t="shared" si="44"/>
        <v>16.772593071752055</v>
      </c>
      <c r="S315">
        <v>17.931249999999999</v>
      </c>
      <c r="T315">
        <v>19.500032986494595</v>
      </c>
      <c r="U315">
        <f t="shared" si="36"/>
        <v>-1.5687829864945968</v>
      </c>
      <c r="W315">
        <f t="shared" si="37"/>
        <v>1.5687829864945968</v>
      </c>
    </row>
    <row r="316" spans="1:23" x14ac:dyDescent="0.25">
      <c r="A316">
        <v>17.78125</v>
      </c>
      <c r="B316">
        <f t="shared" si="42"/>
        <v>311</v>
      </c>
      <c r="C316">
        <f t="shared" si="38"/>
        <v>2.3336454771135493</v>
      </c>
      <c r="D316">
        <f t="shared" si="39"/>
        <v>18.795700496291641</v>
      </c>
      <c r="E316">
        <f t="shared" si="40"/>
        <v>1.0291098094263562</v>
      </c>
      <c r="F316">
        <f t="shared" si="41"/>
        <v>-1.0144504962916407</v>
      </c>
      <c r="G316">
        <f t="shared" si="43"/>
        <v>-2.0092161086483094</v>
      </c>
      <c r="H316">
        <f t="shared" si="44"/>
        <v>16.786484387643331</v>
      </c>
      <c r="S316">
        <v>15.34375</v>
      </c>
      <c r="T316">
        <v>18.471186072832491</v>
      </c>
      <c r="U316">
        <f t="shared" si="36"/>
        <v>-3.1274360728324915</v>
      </c>
      <c r="W316">
        <f t="shared" si="37"/>
        <v>3.1274360728324915</v>
      </c>
    </row>
    <row r="317" spans="1:23" x14ac:dyDescent="0.25">
      <c r="A317">
        <v>21.006250000000001</v>
      </c>
      <c r="B317">
        <f t="shared" si="42"/>
        <v>312</v>
      </c>
      <c r="C317">
        <f t="shared" si="38"/>
        <v>2.4534370620482169</v>
      </c>
      <c r="D317">
        <f t="shared" si="39"/>
        <v>18.915492081226308</v>
      </c>
      <c r="E317">
        <f t="shared" si="40"/>
        <v>4.3712686749149068</v>
      </c>
      <c r="F317">
        <f t="shared" si="41"/>
        <v>2.0907579187736935</v>
      </c>
      <c r="G317">
        <f t="shared" si="43"/>
        <v>1.7706936816441005E-2</v>
      </c>
      <c r="H317">
        <f t="shared" si="44"/>
        <v>18.93319901804275</v>
      </c>
      <c r="S317">
        <v>10.1625</v>
      </c>
      <c r="T317">
        <v>16.482286131081135</v>
      </c>
      <c r="U317">
        <f t="shared" si="36"/>
        <v>-6.3197861310811358</v>
      </c>
      <c r="W317">
        <f t="shared" si="37"/>
        <v>6.3197861310811358</v>
      </c>
    </row>
    <row r="318" spans="1:23" x14ac:dyDescent="0.25">
      <c r="A318">
        <v>24.925000000000001</v>
      </c>
      <c r="B318">
        <f t="shared" si="42"/>
        <v>313</v>
      </c>
      <c r="C318">
        <f t="shared" si="38"/>
        <v>2.5725016406318852</v>
      </c>
      <c r="D318">
        <f t="shared" si="39"/>
        <v>19.034556659809976</v>
      </c>
      <c r="E318">
        <f t="shared" si="40"/>
        <v>34.69732274398902</v>
      </c>
      <c r="F318">
        <f t="shared" si="41"/>
        <v>5.8904433401900249</v>
      </c>
      <c r="G318">
        <f t="shared" si="43"/>
        <v>1.6342100407860196</v>
      </c>
      <c r="H318">
        <f t="shared" si="44"/>
        <v>20.668766700595995</v>
      </c>
      <c r="S318">
        <v>13.0625</v>
      </c>
      <c r="T318">
        <v>12.884480386219067</v>
      </c>
      <c r="U318">
        <f t="shared" si="36"/>
        <v>0.17801961378093267</v>
      </c>
      <c r="W318">
        <f t="shared" si="37"/>
        <v>0.17801961378093267</v>
      </c>
    </row>
    <row r="319" spans="1:23" x14ac:dyDescent="0.25">
      <c r="A319">
        <v>22.8</v>
      </c>
      <c r="B319">
        <f t="shared" si="42"/>
        <v>314</v>
      </c>
      <c r="C319">
        <f t="shared" si="38"/>
        <v>2.6908039314603078</v>
      </c>
      <c r="D319">
        <f t="shared" si="39"/>
        <v>19.1528589506384</v>
      </c>
      <c r="E319">
        <f t="shared" si="40"/>
        <v>13.301637833938436</v>
      </c>
      <c r="F319">
        <f t="shared" si="41"/>
        <v>3.6471410493616006</v>
      </c>
      <c r="G319">
        <f t="shared" si="43"/>
        <v>4.1681320497459433</v>
      </c>
      <c r="H319">
        <f t="shared" si="44"/>
        <v>23.320991000384343</v>
      </c>
      <c r="S319">
        <v>15.55</v>
      </c>
      <c r="T319">
        <v>16.659308038841775</v>
      </c>
      <c r="U319">
        <f t="shared" si="36"/>
        <v>-1.1093080388417746</v>
      </c>
      <c r="W319">
        <f t="shared" si="37"/>
        <v>1.1093080388417746</v>
      </c>
    </row>
    <row r="320" spans="1:23" x14ac:dyDescent="0.25">
      <c r="A320">
        <v>18.5</v>
      </c>
      <c r="B320">
        <f t="shared" si="42"/>
        <v>315</v>
      </c>
      <c r="C320">
        <f t="shared" si="38"/>
        <v>2.8083088790115287</v>
      </c>
      <c r="D320">
        <f t="shared" si="39"/>
        <v>19.270363898189622</v>
      </c>
      <c r="E320">
        <f t="shared" si="40"/>
        <v>0.59346053563391021</v>
      </c>
      <c r="F320">
        <f t="shared" si="41"/>
        <v>-0.77036389818962192</v>
      </c>
      <c r="G320">
        <f t="shared" si="43"/>
        <v>1.504064165123427</v>
      </c>
      <c r="H320">
        <f t="shared" si="44"/>
        <v>20.774428063313049</v>
      </c>
      <c r="S320">
        <v>16.162500000000001</v>
      </c>
      <c r="T320">
        <v>17.113948393361724</v>
      </c>
      <c r="U320">
        <f t="shared" si="36"/>
        <v>-0.95144839336172282</v>
      </c>
      <c r="W320">
        <f t="shared" si="37"/>
        <v>0.95144839336172282</v>
      </c>
    </row>
    <row r="321" spans="1:23" x14ac:dyDescent="0.25">
      <c r="A321">
        <v>18.462499999999999</v>
      </c>
      <c r="B321">
        <f t="shared" si="42"/>
        <v>316</v>
      </c>
      <c r="C321">
        <f t="shared" si="38"/>
        <v>2.9249816640336332</v>
      </c>
      <c r="D321">
        <f t="shared" si="39"/>
        <v>19.387036683211726</v>
      </c>
      <c r="E321">
        <f t="shared" si="40"/>
        <v>0.85476807860414128</v>
      </c>
      <c r="F321">
        <f t="shared" si="41"/>
        <v>-0.924536683211727</v>
      </c>
      <c r="G321">
        <f t="shared" si="43"/>
        <v>-0.96123443873583669</v>
      </c>
      <c r="H321">
        <f t="shared" si="44"/>
        <v>18.425802244475889</v>
      </c>
      <c r="S321">
        <v>17.45</v>
      </c>
      <c r="T321">
        <v>17.293801486177752</v>
      </c>
      <c r="U321">
        <f t="shared" si="36"/>
        <v>0.15619851382224681</v>
      </c>
      <c r="W321">
        <f t="shared" si="37"/>
        <v>0.15619851382224681</v>
      </c>
    </row>
    <row r="322" spans="1:23" x14ac:dyDescent="0.25">
      <c r="A322">
        <v>17.931249999999999</v>
      </c>
      <c r="B322">
        <f t="shared" si="42"/>
        <v>317</v>
      </c>
      <c r="C322">
        <f t="shared" si="38"/>
        <v>3.0407877138624118</v>
      </c>
      <c r="D322">
        <f t="shared" si="39"/>
        <v>19.502842733040502</v>
      </c>
      <c r="E322">
        <f t="shared" si="40"/>
        <v>2.4699037185457202</v>
      </c>
      <c r="F322">
        <f t="shared" si="41"/>
        <v>-1.5715927330405037</v>
      </c>
      <c r="G322">
        <f t="shared" si="43"/>
        <v>-2.8097465459063775E-3</v>
      </c>
      <c r="H322">
        <f t="shared" si="44"/>
        <v>19.500032986494595</v>
      </c>
      <c r="S322">
        <v>21.518750000000001</v>
      </c>
      <c r="T322">
        <v>18.58577371381266</v>
      </c>
      <c r="U322">
        <f t="shared" si="36"/>
        <v>2.9329762861873405</v>
      </c>
      <c r="W322">
        <f t="shared" si="37"/>
        <v>2.9329762861873405</v>
      </c>
    </row>
    <row r="323" spans="1:23" x14ac:dyDescent="0.25">
      <c r="A323">
        <v>15.34375</v>
      </c>
      <c r="B323">
        <f t="shared" si="42"/>
        <v>318</v>
      </c>
      <c r="C323">
        <f t="shared" si="38"/>
        <v>3.1556927126659926</v>
      </c>
      <c r="D323">
        <f t="shared" si="39"/>
        <v>19.617747731844084</v>
      </c>
      <c r="E323">
        <f t="shared" si="40"/>
        <v>18.267056611808371</v>
      </c>
      <c r="F323">
        <f t="shared" si="41"/>
        <v>-4.2739977318440836</v>
      </c>
      <c r="G323">
        <f t="shared" si="43"/>
        <v>-1.1465616590115932</v>
      </c>
      <c r="H323">
        <f t="shared" si="44"/>
        <v>18.471186072832491</v>
      </c>
      <c r="S323">
        <v>22.587499999999999</v>
      </c>
      <c r="T323">
        <v>21.741549711018223</v>
      </c>
      <c r="U323">
        <f t="shared" ref="U323:U363" si="45">S323-T323</f>
        <v>0.8459502889817756</v>
      </c>
      <c r="W323">
        <f t="shared" ref="W323:W363" si="46">ABS(U323)</f>
        <v>0.8459502889817756</v>
      </c>
    </row>
    <row r="324" spans="1:23" x14ac:dyDescent="0.25">
      <c r="A324">
        <v>10.1625</v>
      </c>
      <c r="B324">
        <f t="shared" si="42"/>
        <v>319</v>
      </c>
      <c r="C324">
        <f t="shared" si="38"/>
        <v>3.2696626116133887</v>
      </c>
      <c r="D324">
        <f t="shared" si="39"/>
        <v>19.731717630791479</v>
      </c>
      <c r="E324">
        <f t="shared" si="40"/>
        <v>91.569926065450503</v>
      </c>
      <c r="F324">
        <f t="shared" si="41"/>
        <v>-9.5692176307914796</v>
      </c>
      <c r="G324">
        <f t="shared" si="43"/>
        <v>-3.2494314997103446</v>
      </c>
      <c r="H324">
        <f t="shared" si="44"/>
        <v>16.482286131081135</v>
      </c>
      <c r="S324">
        <v>23.206250000000001</v>
      </c>
      <c r="T324">
        <v>21.56379360384663</v>
      </c>
      <c r="U324">
        <f t="shared" si="45"/>
        <v>1.6424563961533707</v>
      </c>
      <c r="W324">
        <f t="shared" si="46"/>
        <v>1.6424563961533707</v>
      </c>
    </row>
    <row r="325" spans="1:23" x14ac:dyDescent="0.25">
      <c r="A325">
        <v>13.0625</v>
      </c>
      <c r="B325">
        <f t="shared" si="42"/>
        <v>320</v>
      </c>
      <c r="C325">
        <f t="shared" si="38"/>
        <v>3.3826636389638614</v>
      </c>
      <c r="D325">
        <f t="shared" si="39"/>
        <v>19.844718658141954</v>
      </c>
      <c r="E325">
        <f t="shared" si="40"/>
        <v>45.998489926848841</v>
      </c>
      <c r="F325">
        <f t="shared" si="41"/>
        <v>-6.7822186581419537</v>
      </c>
      <c r="G325">
        <f t="shared" si="43"/>
        <v>-6.9602382719228872</v>
      </c>
      <c r="H325">
        <f t="shared" si="44"/>
        <v>12.884480386219067</v>
      </c>
      <c r="S325">
        <v>25.59375</v>
      </c>
      <c r="T325">
        <v>22.37309526268751</v>
      </c>
      <c r="U325">
        <f t="shared" si="45"/>
        <v>3.2206547373124899</v>
      </c>
      <c r="W325">
        <f t="shared" si="46"/>
        <v>3.2206547373124899</v>
      </c>
    </row>
    <row r="326" spans="1:23" x14ac:dyDescent="0.25">
      <c r="A326">
        <v>15.55</v>
      </c>
      <c r="B326">
        <f t="shared" si="42"/>
        <v>321</v>
      </c>
      <c r="C326">
        <f t="shared" si="38"/>
        <v>3.4946623100742533</v>
      </c>
      <c r="D326">
        <f t="shared" si="39"/>
        <v>19.956717329252346</v>
      </c>
      <c r="E326">
        <f t="shared" si="40"/>
        <v>19.419157619932921</v>
      </c>
      <c r="F326">
        <f t="shared" si="41"/>
        <v>-4.4067173292523449</v>
      </c>
      <c r="G326">
        <f t="shared" si="43"/>
        <v>-3.2974092904105712</v>
      </c>
      <c r="H326">
        <f t="shared" si="44"/>
        <v>16.659308038841775</v>
      </c>
      <c r="S326">
        <v>25.762499999999999</v>
      </c>
      <c r="T326">
        <v>24.385412805269471</v>
      </c>
      <c r="U326">
        <f t="shared" si="45"/>
        <v>1.3770871947305281</v>
      </c>
      <c r="W326">
        <f t="shared" si="46"/>
        <v>1.3770871947305281</v>
      </c>
    </row>
    <row r="327" spans="1:23" x14ac:dyDescent="0.25">
      <c r="A327">
        <v>16.162500000000001</v>
      </c>
      <c r="B327">
        <f t="shared" si="42"/>
        <v>322</v>
      </c>
      <c r="C327">
        <f t="shared" ref="C327:C370" si="47">C$2*COS(C$1*B327)+C$3*SIN(C$1*B327)</f>
        <v>3.6056254373211809</v>
      </c>
      <c r="D327">
        <f t="shared" ref="D327:D370" si="48">$A$2+C327</f>
        <v>20.067680456499271</v>
      </c>
      <c r="E327">
        <f t="shared" ref="E327:E370" si="49">(A327-D327)^2</f>
        <v>15.250434397823847</v>
      </c>
      <c r="F327">
        <f t="shared" ref="F327:F370" si="50">A327-D327</f>
        <v>-3.90518045649927</v>
      </c>
      <c r="G327">
        <f t="shared" si="43"/>
        <v>-2.9537320631375463</v>
      </c>
      <c r="H327">
        <f t="shared" si="44"/>
        <v>17.113948393361724</v>
      </c>
      <c r="S327">
        <v>19.75</v>
      </c>
      <c r="T327">
        <v>23.885920724625571</v>
      </c>
      <c r="U327">
        <f t="shared" si="45"/>
        <v>-4.1359207246255707</v>
      </c>
      <c r="W327">
        <f t="shared" si="46"/>
        <v>4.1359207246255707</v>
      </c>
    </row>
    <row r="328" spans="1:23" x14ac:dyDescent="0.25">
      <c r="A328">
        <v>17.45</v>
      </c>
      <c r="B328">
        <f t="shared" ref="B328:B370" si="51">B327+1</f>
        <v>323</v>
      </c>
      <c r="C328">
        <f t="shared" si="47"/>
        <v>3.7155201399352538</v>
      </c>
      <c r="D328">
        <f t="shared" si="48"/>
        <v>20.177575159113346</v>
      </c>
      <c r="E328">
        <f t="shared" si="49"/>
        <v>7.4396662486121965</v>
      </c>
      <c r="F328">
        <f t="shared" si="50"/>
        <v>-2.7275751591133464</v>
      </c>
      <c r="G328">
        <f t="shared" si="43"/>
        <v>-2.8837736729355945</v>
      </c>
      <c r="H328">
        <f t="shared" si="44"/>
        <v>17.293801486177752</v>
      </c>
      <c r="S328">
        <v>17.118749999999999</v>
      </c>
      <c r="T328">
        <v>19.12290739202146</v>
      </c>
      <c r="U328">
        <f t="shared" si="45"/>
        <v>-2.0041573920214617</v>
      </c>
      <c r="W328">
        <f t="shared" si="46"/>
        <v>2.0041573920214617</v>
      </c>
    </row>
    <row r="329" spans="1:23" x14ac:dyDescent="0.25">
      <c r="A329">
        <v>21.518750000000001</v>
      </c>
      <c r="B329">
        <f t="shared" si="51"/>
        <v>324</v>
      </c>
      <c r="C329">
        <f t="shared" si="47"/>
        <v>3.8243138537443775</v>
      </c>
      <c r="D329">
        <f t="shared" si="48"/>
        <v>20.28636887292247</v>
      </c>
      <c r="E329">
        <f t="shared" si="49"/>
        <v>1.5187632423768853</v>
      </c>
      <c r="F329">
        <f t="shared" si="50"/>
        <v>1.2323811270775309</v>
      </c>
      <c r="G329">
        <f t="shared" si="43"/>
        <v>-1.700595159109811</v>
      </c>
      <c r="H329">
        <f t="shared" si="44"/>
        <v>18.58577371381266</v>
      </c>
      <c r="S329">
        <v>21.9</v>
      </c>
      <c r="T329">
        <v>18.880175684845689</v>
      </c>
      <c r="U329">
        <f t="shared" si="45"/>
        <v>3.0198243151543096</v>
      </c>
      <c r="W329">
        <f t="shared" si="46"/>
        <v>3.0198243151543096</v>
      </c>
    </row>
    <row r="330" spans="1:23" x14ac:dyDescent="0.25">
      <c r="A330">
        <v>22.587499999999999</v>
      </c>
      <c r="B330">
        <f t="shared" si="51"/>
        <v>325</v>
      </c>
      <c r="C330">
        <f t="shared" si="47"/>
        <v>3.9319743408231851</v>
      </c>
      <c r="D330">
        <f t="shared" si="48"/>
        <v>20.394029360001277</v>
      </c>
      <c r="E330">
        <f t="shared" si="49"/>
        <v>4.8113134485364037</v>
      </c>
      <c r="F330">
        <f t="shared" si="50"/>
        <v>2.193470639998722</v>
      </c>
      <c r="G330">
        <f t="shared" ref="G330:G370" si="52">$J$3*F329+$J$4*F328+$J$5*F327</f>
        <v>1.3475203510169447</v>
      </c>
      <c r="H330">
        <f t="shared" ref="H330:H370" si="53">D330+G330</f>
        <v>21.741549711018223</v>
      </c>
      <c r="S330">
        <v>24.45</v>
      </c>
      <c r="T330">
        <v>22.9249573644611</v>
      </c>
      <c r="U330">
        <f t="shared" si="45"/>
        <v>1.5250426355388988</v>
      </c>
      <c r="W330">
        <f t="shared" si="46"/>
        <v>1.5250426355388988</v>
      </c>
    </row>
    <row r="331" spans="1:23" x14ac:dyDescent="0.25">
      <c r="A331">
        <v>23.206250000000001</v>
      </c>
      <c r="B331">
        <f t="shared" si="51"/>
        <v>326</v>
      </c>
      <c r="C331">
        <f t="shared" si="47"/>
        <v>4.0384696990458444</v>
      </c>
      <c r="D331">
        <f t="shared" si="48"/>
        <v>20.500524718223936</v>
      </c>
      <c r="E331">
        <f t="shared" si="49"/>
        <v>7.320949300442166</v>
      </c>
      <c r="F331">
        <f t="shared" si="50"/>
        <v>2.7057252817760649</v>
      </c>
      <c r="G331">
        <f t="shared" si="52"/>
        <v>1.0632688856226942</v>
      </c>
      <c r="H331">
        <f t="shared" si="53"/>
        <v>21.56379360384663</v>
      </c>
      <c r="S331">
        <v>22.331250000000001</v>
      </c>
      <c r="T331">
        <v>23.197103704016438</v>
      </c>
      <c r="U331">
        <f t="shared" si="45"/>
        <v>-0.86585370401643758</v>
      </c>
      <c r="W331">
        <f t="shared" si="46"/>
        <v>0.86585370401643758</v>
      </c>
    </row>
    <row r="332" spans="1:23" x14ac:dyDescent="0.25">
      <c r="A332">
        <v>25.59375</v>
      </c>
      <c r="B332">
        <f t="shared" si="51"/>
        <v>327</v>
      </c>
      <c r="C332">
        <f t="shared" si="47"/>
        <v>4.1437683715393669</v>
      </c>
      <c r="D332">
        <f t="shared" si="48"/>
        <v>20.605823390717457</v>
      </c>
      <c r="E332">
        <f t="shared" si="49"/>
        <v>24.879411859588842</v>
      </c>
      <c r="F332">
        <f t="shared" si="50"/>
        <v>4.9879266092825425</v>
      </c>
      <c r="G332">
        <f t="shared" si="52"/>
        <v>1.7672718719700538</v>
      </c>
      <c r="H332">
        <f t="shared" si="53"/>
        <v>22.37309526268751</v>
      </c>
      <c r="S332">
        <v>25.056249999999999</v>
      </c>
      <c r="T332">
        <v>21.314734241217625</v>
      </c>
      <c r="U332">
        <f t="shared" si="45"/>
        <v>3.7415157587823735</v>
      </c>
      <c r="W332">
        <f t="shared" si="46"/>
        <v>3.7415157587823735</v>
      </c>
    </row>
    <row r="333" spans="1:23" x14ac:dyDescent="0.25">
      <c r="A333">
        <v>25.762499999999999</v>
      </c>
      <c r="B333">
        <f t="shared" si="51"/>
        <v>328</v>
      </c>
      <c r="C333">
        <f t="shared" si="47"/>
        <v>4.2478391560345514</v>
      </c>
      <c r="D333">
        <f t="shared" si="48"/>
        <v>20.709894175212643</v>
      </c>
      <c r="E333">
        <f t="shared" si="49"/>
        <v>25.528825620675121</v>
      </c>
      <c r="F333">
        <f t="shared" si="50"/>
        <v>5.0526058247873564</v>
      </c>
      <c r="G333">
        <f t="shared" si="52"/>
        <v>3.6755186300568297</v>
      </c>
      <c r="H333">
        <f t="shared" si="53"/>
        <v>24.385412805269471</v>
      </c>
      <c r="S333">
        <v>24.181249999999999</v>
      </c>
      <c r="T333">
        <v>24.703876781057428</v>
      </c>
      <c r="U333">
        <f t="shared" si="45"/>
        <v>-0.52262678105742921</v>
      </c>
      <c r="W333">
        <f t="shared" si="46"/>
        <v>0.52262678105742921</v>
      </c>
    </row>
    <row r="334" spans="1:23" x14ac:dyDescent="0.25">
      <c r="A334">
        <v>19.75</v>
      </c>
      <c r="B334">
        <f t="shared" si="51"/>
        <v>329</v>
      </c>
      <c r="C334">
        <f t="shared" si="47"/>
        <v>4.3506512141119318</v>
      </c>
      <c r="D334">
        <f t="shared" si="48"/>
        <v>20.812706233290022</v>
      </c>
      <c r="E334">
        <f t="shared" si="49"/>
        <v>1.1293445382734675</v>
      </c>
      <c r="F334">
        <f t="shared" si="50"/>
        <v>-1.0627062332900223</v>
      </c>
      <c r="G334">
        <f t="shared" si="52"/>
        <v>3.0732144913355484</v>
      </c>
      <c r="H334">
        <f t="shared" si="53"/>
        <v>23.885920724625571</v>
      </c>
      <c r="S334">
        <v>26.6</v>
      </c>
      <c r="T334">
        <v>22.809266148503223</v>
      </c>
      <c r="U334">
        <f t="shared" si="45"/>
        <v>3.7907338514967783</v>
      </c>
      <c r="W334">
        <f t="shared" si="46"/>
        <v>3.7907338514967783</v>
      </c>
    </row>
    <row r="335" spans="1:23" x14ac:dyDescent="0.25">
      <c r="A335">
        <v>17.118749999999999</v>
      </c>
      <c r="B335">
        <f t="shared" si="51"/>
        <v>330</v>
      </c>
      <c r="C335">
        <f t="shared" si="47"/>
        <v>4.4521740803398266</v>
      </c>
      <c r="D335">
        <f t="shared" si="48"/>
        <v>20.914229099517918</v>
      </c>
      <c r="E335">
        <f t="shared" si="49"/>
        <v>14.405661594877357</v>
      </c>
      <c r="F335">
        <f t="shared" si="50"/>
        <v>-3.7954790995179195</v>
      </c>
      <c r="G335">
        <f t="shared" si="52"/>
        <v>-1.7913217074964585</v>
      </c>
      <c r="H335">
        <f t="shared" si="53"/>
        <v>19.12290739202146</v>
      </c>
      <c r="S335">
        <v>31.737500000000001</v>
      </c>
      <c r="T335">
        <v>25.564829191141595</v>
      </c>
      <c r="U335">
        <f t="shared" si="45"/>
        <v>6.1726708088584061</v>
      </c>
      <c r="W335">
        <f t="shared" si="46"/>
        <v>6.1726708088584061</v>
      </c>
    </row>
    <row r="336" spans="1:23" x14ac:dyDescent="0.25">
      <c r="A336">
        <v>21.9</v>
      </c>
      <c r="B336">
        <f t="shared" si="51"/>
        <v>331</v>
      </c>
      <c r="C336">
        <f t="shared" si="47"/>
        <v>4.5523776713019259</v>
      </c>
      <c r="D336">
        <f t="shared" si="48"/>
        <v>21.014432690480017</v>
      </c>
      <c r="E336">
        <f t="shared" si="49"/>
        <v>0.78422945969045821</v>
      </c>
      <c r="F336">
        <f t="shared" si="50"/>
        <v>0.88556730951998119</v>
      </c>
      <c r="G336">
        <f t="shared" si="52"/>
        <v>-2.1342570056343275</v>
      </c>
      <c r="H336">
        <f t="shared" si="53"/>
        <v>18.880175684845689</v>
      </c>
      <c r="S336">
        <v>29.53125</v>
      </c>
      <c r="T336">
        <v>29.039304781779272</v>
      </c>
      <c r="U336">
        <f t="shared" si="45"/>
        <v>0.49194521822072801</v>
      </c>
      <c r="W336">
        <f t="shared" si="46"/>
        <v>0.49194521822072801</v>
      </c>
    </row>
    <row r="337" spans="1:23" x14ac:dyDescent="0.25">
      <c r="A337">
        <v>24.45</v>
      </c>
      <c r="B337">
        <f t="shared" si="51"/>
        <v>332</v>
      </c>
      <c r="C337">
        <f t="shared" si="47"/>
        <v>4.6512322945116669</v>
      </c>
      <c r="D337">
        <f t="shared" si="48"/>
        <v>21.11328731368976</v>
      </c>
      <c r="E337">
        <f t="shared" si="49"/>
        <v>11.133651550983693</v>
      </c>
      <c r="F337">
        <f t="shared" si="50"/>
        <v>3.3367126863102392</v>
      </c>
      <c r="G337">
        <f t="shared" si="52"/>
        <v>1.8116700507713406</v>
      </c>
      <c r="H337">
        <f t="shared" si="53"/>
        <v>22.9249573644611</v>
      </c>
      <c r="S337">
        <v>18.331250000000001</v>
      </c>
      <c r="T337">
        <v>25.905351320999632</v>
      </c>
      <c r="U337">
        <f t="shared" si="45"/>
        <v>-7.5741013209996311</v>
      </c>
      <c r="W337">
        <f t="shared" si="46"/>
        <v>7.5741013209996311</v>
      </c>
    </row>
    <row r="338" spans="1:23" x14ac:dyDescent="0.25">
      <c r="A338">
        <v>22.331250000000001</v>
      </c>
      <c r="B338">
        <f t="shared" si="51"/>
        <v>333</v>
      </c>
      <c r="C338">
        <f t="shared" si="47"/>
        <v>4.7487086572107238</v>
      </c>
      <c r="D338">
        <f t="shared" si="48"/>
        <v>21.210763676388815</v>
      </c>
      <c r="E338">
        <f t="shared" si="49"/>
        <v>1.2554896013997103</v>
      </c>
      <c r="F338">
        <f t="shared" si="50"/>
        <v>1.1204863236111855</v>
      </c>
      <c r="G338">
        <f t="shared" si="52"/>
        <v>1.9863400276276226</v>
      </c>
      <c r="H338">
        <f t="shared" si="53"/>
        <v>23.197103704016438</v>
      </c>
      <c r="S338">
        <v>17.581250000000001</v>
      </c>
      <c r="T338">
        <v>17.909106739673742</v>
      </c>
      <c r="U338">
        <f t="shared" si="45"/>
        <v>-0.32785673967374152</v>
      </c>
      <c r="W338">
        <f t="shared" si="46"/>
        <v>0.32785673967374152</v>
      </c>
    </row>
    <row r="339" spans="1:23" x14ac:dyDescent="0.25">
      <c r="A339">
        <v>25.056249999999999</v>
      </c>
      <c r="B339">
        <f t="shared" si="51"/>
        <v>334</v>
      </c>
      <c r="C339">
        <f t="shared" si="47"/>
        <v>4.8447778750491279</v>
      </c>
      <c r="D339">
        <f t="shared" si="48"/>
        <v>21.30683289422722</v>
      </c>
      <c r="E339">
        <f t="shared" si="49"/>
        <v>14.058128633061518</v>
      </c>
      <c r="F339">
        <f t="shared" si="50"/>
        <v>3.7494171057727783</v>
      </c>
      <c r="G339">
        <f t="shared" si="52"/>
        <v>7.9013469904053169E-3</v>
      </c>
      <c r="H339">
        <f t="shared" si="53"/>
        <v>21.314734241217625</v>
      </c>
      <c r="S339">
        <v>20.193750000000001</v>
      </c>
      <c r="T339">
        <v>20.570665376425588</v>
      </c>
      <c r="U339">
        <f t="shared" si="45"/>
        <v>-0.37691537642558615</v>
      </c>
      <c r="W339">
        <f t="shared" si="46"/>
        <v>0.37691537642558615</v>
      </c>
    </row>
    <row r="340" spans="1:23" x14ac:dyDescent="0.25">
      <c r="A340">
        <v>24.181249999999999</v>
      </c>
      <c r="B340">
        <f t="shared" si="51"/>
        <v>335</v>
      </c>
      <c r="C340">
        <f t="shared" si="47"/>
        <v>4.939411480644285</v>
      </c>
      <c r="D340">
        <f t="shared" si="48"/>
        <v>21.401466499822376</v>
      </c>
      <c r="E340">
        <f t="shared" si="49"/>
        <v>7.7271963078597521</v>
      </c>
      <c r="F340">
        <f t="shared" si="50"/>
        <v>2.7797835001776221</v>
      </c>
      <c r="G340">
        <f t="shared" si="52"/>
        <v>3.3024102812350526</v>
      </c>
      <c r="H340">
        <f t="shared" si="53"/>
        <v>24.703876781057428</v>
      </c>
      <c r="S340">
        <v>20.90625</v>
      </c>
      <c r="T340">
        <v>21.413066105050415</v>
      </c>
      <c r="U340">
        <f t="shared" si="45"/>
        <v>-0.50681610505041519</v>
      </c>
      <c r="W340">
        <f t="shared" si="46"/>
        <v>0.50681610505041519</v>
      </c>
    </row>
    <row r="341" spans="1:23" x14ac:dyDescent="0.25">
      <c r="A341">
        <v>26.6</v>
      </c>
      <c r="B341">
        <f t="shared" si="51"/>
        <v>336</v>
      </c>
      <c r="C341">
        <f t="shared" si="47"/>
        <v>5.0325814320164923</v>
      </c>
      <c r="D341">
        <f t="shared" si="48"/>
        <v>21.494636451194584</v>
      </c>
      <c r="E341">
        <f t="shared" si="49"/>
        <v>26.064736965471049</v>
      </c>
      <c r="F341">
        <f t="shared" si="50"/>
        <v>5.1053635488054177</v>
      </c>
      <c r="G341">
        <f t="shared" si="52"/>
        <v>1.3146296973086393</v>
      </c>
      <c r="H341">
        <f t="shared" si="53"/>
        <v>22.809266148503223</v>
      </c>
      <c r="S341">
        <v>20.387499999999999</v>
      </c>
      <c r="T341">
        <v>21.09476171188566</v>
      </c>
      <c r="U341">
        <f t="shared" si="45"/>
        <v>-0.70726171188566056</v>
      </c>
      <c r="W341">
        <f t="shared" si="46"/>
        <v>0.70726171188566056</v>
      </c>
    </row>
    <row r="342" spans="1:23" x14ac:dyDescent="0.25">
      <c r="A342">
        <v>31.737500000000001</v>
      </c>
      <c r="B342">
        <f t="shared" si="51"/>
        <v>337</v>
      </c>
      <c r="C342">
        <f t="shared" si="47"/>
        <v>5.1242601208983949</v>
      </c>
      <c r="D342">
        <f t="shared" si="48"/>
        <v>21.586315140076486</v>
      </c>
      <c r="E342">
        <f t="shared" si="49"/>
        <v>103.04655406034038</v>
      </c>
      <c r="F342">
        <f t="shared" si="50"/>
        <v>10.151184859923514</v>
      </c>
      <c r="G342">
        <f t="shared" si="52"/>
        <v>3.9785140510651069</v>
      </c>
      <c r="H342">
        <f t="shared" si="53"/>
        <v>25.564829191141595</v>
      </c>
      <c r="S342">
        <v>14.525</v>
      </c>
      <c r="T342">
        <v>20.834108273133772</v>
      </c>
      <c r="U342">
        <f t="shared" si="45"/>
        <v>-6.3091082731337718</v>
      </c>
      <c r="W342">
        <f t="shared" si="46"/>
        <v>6.3091082731337718</v>
      </c>
    </row>
    <row r="343" spans="1:23" x14ac:dyDescent="0.25">
      <c r="A343">
        <v>29.53125</v>
      </c>
      <c r="B343">
        <f t="shared" si="51"/>
        <v>338</v>
      </c>
      <c r="C343">
        <f t="shared" si="47"/>
        <v>5.2144203809158798</v>
      </c>
      <c r="D343">
        <f t="shared" si="48"/>
        <v>21.67647540009397</v>
      </c>
      <c r="E343">
        <f t="shared" si="49"/>
        <v>61.697484015328925</v>
      </c>
      <c r="F343">
        <f t="shared" si="50"/>
        <v>7.8547745999060297</v>
      </c>
      <c r="G343">
        <f t="shared" si="52"/>
        <v>7.3628293816852999</v>
      </c>
      <c r="H343">
        <f t="shared" si="53"/>
        <v>29.039304781779272</v>
      </c>
      <c r="S343">
        <v>18.018750000000001</v>
      </c>
      <c r="T343">
        <v>16.166136407136023</v>
      </c>
      <c r="U343">
        <f t="shared" si="45"/>
        <v>1.8526135928639782</v>
      </c>
      <c r="W343">
        <f t="shared" si="46"/>
        <v>1.8526135928639782</v>
      </c>
    </row>
    <row r="344" spans="1:23" x14ac:dyDescent="0.25">
      <c r="A344">
        <v>18.331250000000001</v>
      </c>
      <c r="B344">
        <f t="shared" si="51"/>
        <v>339</v>
      </c>
      <c r="C344">
        <f t="shared" si="47"/>
        <v>5.3030354956380954</v>
      </c>
      <c r="D344">
        <f t="shared" si="48"/>
        <v>21.765090514816187</v>
      </c>
      <c r="E344">
        <f t="shared" si="49"/>
        <v>11.791260681193091</v>
      </c>
      <c r="F344">
        <f t="shared" si="50"/>
        <v>-3.4338405148161861</v>
      </c>
      <c r="G344">
        <f t="shared" si="52"/>
        <v>4.1402608061834449</v>
      </c>
      <c r="H344">
        <f t="shared" si="53"/>
        <v>25.905351320999632</v>
      </c>
      <c r="S344">
        <v>21.637499999999999</v>
      </c>
      <c r="T344">
        <v>20.952441901596995</v>
      </c>
      <c r="U344">
        <f t="shared" si="45"/>
        <v>0.68505809840300458</v>
      </c>
      <c r="W344">
        <f t="shared" si="46"/>
        <v>0.68505809840300458</v>
      </c>
    </row>
    <row r="345" spans="1:23" x14ac:dyDescent="0.25">
      <c r="A345">
        <v>17.581250000000001</v>
      </c>
      <c r="B345">
        <f t="shared" si="51"/>
        <v>340</v>
      </c>
      <c r="C345">
        <f t="shared" si="47"/>
        <v>5.3900792064940726</v>
      </c>
      <c r="D345">
        <f t="shared" si="48"/>
        <v>21.852134225672163</v>
      </c>
      <c r="E345">
        <f t="shared" si="49"/>
        <v>18.240452069095305</v>
      </c>
      <c r="F345">
        <f t="shared" si="50"/>
        <v>-4.2708842256721624</v>
      </c>
      <c r="G345">
        <f t="shared" si="52"/>
        <v>-3.9430274859984213</v>
      </c>
      <c r="H345">
        <f t="shared" si="53"/>
        <v>17.909106739673742</v>
      </c>
      <c r="S345">
        <v>25.725000000000001</v>
      </c>
      <c r="T345">
        <v>22.062715090758708</v>
      </c>
      <c r="U345">
        <f t="shared" si="45"/>
        <v>3.6622849092412935</v>
      </c>
      <c r="W345">
        <f t="shared" si="46"/>
        <v>3.6622849092412935</v>
      </c>
    </row>
    <row r="346" spans="1:23" x14ac:dyDescent="0.25">
      <c r="A346">
        <v>20.193750000000001</v>
      </c>
      <c r="B346">
        <f t="shared" si="51"/>
        <v>341</v>
      </c>
      <c r="C346">
        <f t="shared" si="47"/>
        <v>5.4755257205537262</v>
      </c>
      <c r="D346">
        <f t="shared" si="48"/>
        <v>21.937580739731818</v>
      </c>
      <c r="E346">
        <f t="shared" si="49"/>
        <v>3.0409456488336133</v>
      </c>
      <c r="F346">
        <f t="shared" si="50"/>
        <v>-1.7438307397318162</v>
      </c>
      <c r="G346">
        <f t="shared" si="52"/>
        <v>-1.3669153633062312</v>
      </c>
      <c r="H346">
        <f t="shared" si="53"/>
        <v>20.570665376425588</v>
      </c>
      <c r="S346">
        <v>20.518750000000001</v>
      </c>
      <c r="T346">
        <v>24.896099607524039</v>
      </c>
      <c r="U346">
        <f t="shared" si="45"/>
        <v>-4.3773496075240388</v>
      </c>
      <c r="W346">
        <f t="shared" si="46"/>
        <v>4.3773496075240388</v>
      </c>
    </row>
    <row r="347" spans="1:23" x14ac:dyDescent="0.25">
      <c r="A347">
        <v>20.90625</v>
      </c>
      <c r="B347">
        <f t="shared" si="51"/>
        <v>342</v>
      </c>
      <c r="C347">
        <f t="shared" si="47"/>
        <v>5.5593497181708607</v>
      </c>
      <c r="D347">
        <f t="shared" si="48"/>
        <v>22.021404737348952</v>
      </c>
      <c r="E347">
        <f t="shared" si="49"/>
        <v>1.2435700882318104</v>
      </c>
      <c r="F347">
        <f t="shared" si="50"/>
        <v>-1.1151547373489521</v>
      </c>
      <c r="G347">
        <f t="shared" si="52"/>
        <v>-0.60833863229853813</v>
      </c>
      <c r="H347">
        <f t="shared" si="53"/>
        <v>21.413066105050415</v>
      </c>
      <c r="S347">
        <v>20.556249999999999</v>
      </c>
      <c r="T347">
        <v>19.72872988552858</v>
      </c>
      <c r="U347">
        <f t="shared" si="45"/>
        <v>0.82752011447141882</v>
      </c>
      <c r="W347">
        <f t="shared" si="46"/>
        <v>0.82752011447141882</v>
      </c>
    </row>
    <row r="348" spans="1:23" x14ac:dyDescent="0.25">
      <c r="A348">
        <v>20.387499999999999</v>
      </c>
      <c r="B348">
        <f t="shared" si="51"/>
        <v>343</v>
      </c>
      <c r="C348">
        <f t="shared" si="47"/>
        <v>5.6415263604859023</v>
      </c>
      <c r="D348">
        <f t="shared" si="48"/>
        <v>22.103581379663993</v>
      </c>
      <c r="E348">
        <f t="shared" si="49"/>
        <v>2.9449353016294757</v>
      </c>
      <c r="F348">
        <f t="shared" si="50"/>
        <v>-1.7160813796639935</v>
      </c>
      <c r="G348">
        <f t="shared" si="52"/>
        <v>-1.0088196677783325</v>
      </c>
      <c r="H348">
        <f t="shared" si="53"/>
        <v>21.09476171188566</v>
      </c>
      <c r="S348">
        <v>22.59375</v>
      </c>
      <c r="T348">
        <v>22.049102411160526</v>
      </c>
      <c r="U348">
        <f t="shared" si="45"/>
        <v>0.54464758883947439</v>
      </c>
      <c r="W348">
        <f t="shared" si="46"/>
        <v>0.54464758883947439</v>
      </c>
    </row>
    <row r="349" spans="1:23" x14ac:dyDescent="0.25">
      <c r="A349">
        <v>14.525</v>
      </c>
      <c r="B349">
        <f t="shared" si="51"/>
        <v>344</v>
      </c>
      <c r="C349">
        <f t="shared" si="47"/>
        <v>5.7220312967862261</v>
      </c>
      <c r="D349">
        <f t="shared" si="48"/>
        <v>22.184086315964318</v>
      </c>
      <c r="E349">
        <f t="shared" si="49"/>
        <v>58.661603195391869</v>
      </c>
      <c r="F349">
        <f t="shared" si="50"/>
        <v>-7.6590863159643181</v>
      </c>
      <c r="G349">
        <f t="shared" si="52"/>
        <v>-1.3499780428305461</v>
      </c>
      <c r="H349">
        <f t="shared" si="53"/>
        <v>20.834108273133772</v>
      </c>
      <c r="S349">
        <v>27.556249999999999</v>
      </c>
      <c r="T349">
        <v>23.022574475527797</v>
      </c>
      <c r="U349">
        <f t="shared" si="45"/>
        <v>4.5336755244722013</v>
      </c>
      <c r="W349">
        <f t="shared" si="46"/>
        <v>4.5336755244722013</v>
      </c>
    </row>
    <row r="350" spans="1:23" x14ac:dyDescent="0.25">
      <c r="A350">
        <v>18.018750000000001</v>
      </c>
      <c r="B350">
        <f t="shared" si="51"/>
        <v>345</v>
      </c>
      <c r="C350">
        <f t="shared" si="47"/>
        <v>5.8008406717217627</v>
      </c>
      <c r="D350">
        <f t="shared" si="48"/>
        <v>22.262895690899853</v>
      </c>
      <c r="E350">
        <f t="shared" si="49"/>
        <v>18.012772645583787</v>
      </c>
      <c r="F350">
        <f t="shared" si="50"/>
        <v>-4.2441456908998525</v>
      </c>
      <c r="G350">
        <f t="shared" si="52"/>
        <v>-6.0967592837638316</v>
      </c>
      <c r="H350">
        <f t="shared" si="53"/>
        <v>16.166136407136023</v>
      </c>
      <c r="S350">
        <v>23.418749999999999</v>
      </c>
      <c r="T350">
        <v>26.596444176371978</v>
      </c>
      <c r="U350">
        <f t="shared" si="45"/>
        <v>-3.177694176371979</v>
      </c>
      <c r="W350">
        <f t="shared" si="46"/>
        <v>3.177694176371979</v>
      </c>
    </row>
    <row r="351" spans="1:23" x14ac:dyDescent="0.25">
      <c r="A351">
        <v>21.637499999999999</v>
      </c>
      <c r="B351">
        <f t="shared" si="51"/>
        <v>346</v>
      </c>
      <c r="C351">
        <f t="shared" si="47"/>
        <v>5.8779311323738694</v>
      </c>
      <c r="D351">
        <f t="shared" si="48"/>
        <v>22.339986151551962</v>
      </c>
      <c r="E351">
        <f t="shared" si="49"/>
        <v>0.49348679312228677</v>
      </c>
      <c r="F351">
        <f t="shared" si="50"/>
        <v>-0.70248615155196248</v>
      </c>
      <c r="G351">
        <f t="shared" si="52"/>
        <v>-1.3875442499549679</v>
      </c>
      <c r="H351">
        <f t="shared" si="53"/>
        <v>20.952441901596995</v>
      </c>
      <c r="S351">
        <v>19.5</v>
      </c>
      <c r="T351">
        <v>21.81978104492838</v>
      </c>
      <c r="U351">
        <f t="shared" si="45"/>
        <v>-2.31978104492838</v>
      </c>
      <c r="W351">
        <f t="shared" si="46"/>
        <v>2.31978104492838</v>
      </c>
    </row>
    <row r="352" spans="1:23" x14ac:dyDescent="0.25">
      <c r="A352">
        <v>25.725000000000001</v>
      </c>
      <c r="B352">
        <f t="shared" si="51"/>
        <v>347</v>
      </c>
      <c r="C352">
        <f t="shared" si="47"/>
        <v>5.9532798351753131</v>
      </c>
      <c r="D352">
        <f t="shared" si="48"/>
        <v>22.415334854353404</v>
      </c>
      <c r="E352">
        <f t="shared" si="49"/>
        <v>10.953883376307916</v>
      </c>
      <c r="F352">
        <f t="shared" si="50"/>
        <v>3.3096651456465978</v>
      </c>
      <c r="G352">
        <f t="shared" si="52"/>
        <v>-0.35261976359469582</v>
      </c>
      <c r="H352">
        <f t="shared" si="53"/>
        <v>22.062715090758708</v>
      </c>
      <c r="S352">
        <v>24.09375</v>
      </c>
      <c r="T352">
        <v>20.573392922731781</v>
      </c>
      <c r="U352">
        <f t="shared" si="45"/>
        <v>3.5203570772682191</v>
      </c>
      <c r="W352">
        <f t="shared" si="46"/>
        <v>3.5203570772682191</v>
      </c>
    </row>
    <row r="353" spans="1:23" x14ac:dyDescent="0.25">
      <c r="A353">
        <v>20.518750000000001</v>
      </c>
      <c r="B353">
        <f t="shared" si="51"/>
        <v>348</v>
      </c>
      <c r="C353">
        <f t="shared" si="47"/>
        <v>6.0268644526792903</v>
      </c>
      <c r="D353">
        <f t="shared" si="48"/>
        <v>22.488919471857383</v>
      </c>
      <c r="E353">
        <f t="shared" si="49"/>
        <v>3.8815677478387953</v>
      </c>
      <c r="F353">
        <f t="shared" si="50"/>
        <v>-1.9701694718573819</v>
      </c>
      <c r="G353">
        <f t="shared" si="52"/>
        <v>2.4071801356666556</v>
      </c>
      <c r="H353">
        <f t="shared" si="53"/>
        <v>24.896099607524039</v>
      </c>
      <c r="S353">
        <v>24.9375</v>
      </c>
      <c r="T353">
        <v>25.133387213367204</v>
      </c>
      <c r="U353">
        <f t="shared" si="45"/>
        <v>-0.19588721336720383</v>
      </c>
      <c r="W353">
        <f t="shared" si="46"/>
        <v>0.19588721336720383</v>
      </c>
    </row>
    <row r="354" spans="1:23" x14ac:dyDescent="0.25">
      <c r="A354">
        <v>20.556249999999999</v>
      </c>
      <c r="B354">
        <f t="shared" si="51"/>
        <v>349</v>
      </c>
      <c r="C354">
        <f t="shared" si="47"/>
        <v>6.0986631801755546</v>
      </c>
      <c r="D354">
        <f t="shared" si="48"/>
        <v>22.560718199353644</v>
      </c>
      <c r="E354">
        <f t="shared" si="49"/>
        <v>4.0178927622200469</v>
      </c>
      <c r="F354">
        <f t="shared" si="50"/>
        <v>-2.0044681993536457</v>
      </c>
      <c r="G354">
        <f t="shared" si="52"/>
        <v>-2.8319883138250654</v>
      </c>
      <c r="H354">
        <f t="shared" si="53"/>
        <v>19.72872988552858</v>
      </c>
      <c r="S354">
        <v>25.693750000000001</v>
      </c>
      <c r="T354">
        <v>23.819989634165307</v>
      </c>
      <c r="U354">
        <f t="shared" si="45"/>
        <v>1.8737603658346949</v>
      </c>
      <c r="W354">
        <f t="shared" si="46"/>
        <v>1.8737603658346949</v>
      </c>
    </row>
    <row r="355" spans="1:23" x14ac:dyDescent="0.25">
      <c r="A355">
        <v>22.59375</v>
      </c>
      <c r="B355">
        <f t="shared" si="51"/>
        <v>350</v>
      </c>
      <c r="C355">
        <f t="shared" si="47"/>
        <v>6.1686547421516007</v>
      </c>
      <c r="D355">
        <f t="shared" si="48"/>
        <v>22.63070976132969</v>
      </c>
      <c r="E355">
        <f t="shared" si="49"/>
        <v>1.3660239575476753E-3</v>
      </c>
      <c r="F355">
        <f t="shared" si="50"/>
        <v>-3.6959761329690366E-2</v>
      </c>
      <c r="G355">
        <f t="shared" si="52"/>
        <v>-0.5816073501691662</v>
      </c>
      <c r="H355">
        <f t="shared" si="53"/>
        <v>22.049102411160526</v>
      </c>
      <c r="S355">
        <v>21.024999999999999</v>
      </c>
      <c r="T355">
        <v>24.878167967841861</v>
      </c>
      <c r="U355">
        <f t="shared" si="45"/>
        <v>-3.8531679678418627</v>
      </c>
      <c r="W355">
        <f t="shared" si="46"/>
        <v>3.8531679678418627</v>
      </c>
    </row>
    <row r="356" spans="1:23" x14ac:dyDescent="0.25">
      <c r="A356">
        <v>27.556249999999999</v>
      </c>
      <c r="B356">
        <f t="shared" si="51"/>
        <v>351</v>
      </c>
      <c r="C356">
        <f t="shared" si="47"/>
        <v>6.2368183985970704</v>
      </c>
      <c r="D356">
        <f t="shared" si="48"/>
        <v>22.698873417775161</v>
      </c>
      <c r="E356">
        <f t="shared" si="49"/>
        <v>23.594107261546245</v>
      </c>
      <c r="F356">
        <f t="shared" si="50"/>
        <v>4.8573765822248376</v>
      </c>
      <c r="G356">
        <f t="shared" si="52"/>
        <v>0.32370105775263475</v>
      </c>
      <c r="H356">
        <f t="shared" si="53"/>
        <v>23.022574475527797</v>
      </c>
      <c r="S356">
        <v>19.106249999999999</v>
      </c>
      <c r="T356">
        <v>20.823074564080713</v>
      </c>
      <c r="U356">
        <f t="shared" si="45"/>
        <v>-1.7168245640807136</v>
      </c>
      <c r="W356">
        <f t="shared" si="46"/>
        <v>1.7168245640807136</v>
      </c>
    </row>
    <row r="357" spans="1:23" x14ac:dyDescent="0.25">
      <c r="A357">
        <v>23.418749999999999</v>
      </c>
      <c r="B357">
        <f t="shared" si="51"/>
        <v>352</v>
      </c>
      <c r="C357">
        <f t="shared" si="47"/>
        <v>6.3031339511494764</v>
      </c>
      <c r="D357">
        <f t="shared" si="48"/>
        <v>22.765188970327568</v>
      </c>
      <c r="E357">
        <f t="shared" si="49"/>
        <v>0.42714201950648883</v>
      </c>
      <c r="F357">
        <f t="shared" si="50"/>
        <v>0.65356102967243146</v>
      </c>
      <c r="G357">
        <f t="shared" si="52"/>
        <v>3.8312552060444114</v>
      </c>
      <c r="H357">
        <f t="shared" si="53"/>
        <v>26.596444176371978</v>
      </c>
      <c r="S357">
        <v>23.787500000000001</v>
      </c>
      <c r="T357">
        <v>20.82248696606004</v>
      </c>
      <c r="U357">
        <f t="shared" si="45"/>
        <v>2.965013033939961</v>
      </c>
      <c r="W357">
        <f t="shared" si="46"/>
        <v>2.965013033939961</v>
      </c>
    </row>
    <row r="358" spans="1:23" x14ac:dyDescent="0.25">
      <c r="A358">
        <v>19.5</v>
      </c>
      <c r="B358">
        <f t="shared" si="51"/>
        <v>353</v>
      </c>
      <c r="C358">
        <f t="shared" si="47"/>
        <v>6.3675817490793793</v>
      </c>
      <c r="D358">
        <f t="shared" si="48"/>
        <v>22.829636768257473</v>
      </c>
      <c r="E358">
        <f t="shared" si="49"/>
        <v>11.086481008532067</v>
      </c>
      <c r="F358">
        <f t="shared" si="50"/>
        <v>-3.3296367682574726</v>
      </c>
      <c r="G358">
        <f t="shared" si="52"/>
        <v>-1.0098557233290923</v>
      </c>
      <c r="H358">
        <f t="shared" si="53"/>
        <v>21.81978104492838</v>
      </c>
      <c r="S358">
        <v>29.787500000000001</v>
      </c>
      <c r="T358">
        <v>24.734279161921034</v>
      </c>
      <c r="U358">
        <f t="shared" si="45"/>
        <v>5.0532208380789676</v>
      </c>
      <c r="W358">
        <f t="shared" si="46"/>
        <v>5.0532208380789676</v>
      </c>
    </row>
    <row r="359" spans="1:23" x14ac:dyDescent="0.25">
      <c r="A359">
        <v>24.09375</v>
      </c>
      <c r="B359">
        <f t="shared" si="51"/>
        <v>354</v>
      </c>
      <c r="C359">
        <f t="shared" si="47"/>
        <v>6.4301426951133651</v>
      </c>
      <c r="D359">
        <f t="shared" si="48"/>
        <v>22.892197714291456</v>
      </c>
      <c r="E359">
        <f t="shared" si="49"/>
        <v>1.4437278952914274</v>
      </c>
      <c r="F359">
        <f t="shared" si="50"/>
        <v>1.2015522857085443</v>
      </c>
      <c r="G359">
        <f t="shared" si="52"/>
        <v>-2.3188047915596761</v>
      </c>
      <c r="H359">
        <f t="shared" si="53"/>
        <v>20.573392922731781</v>
      </c>
      <c r="S359">
        <v>28.512499999999999</v>
      </c>
      <c r="T359">
        <v>28.047012836179064</v>
      </c>
      <c r="U359">
        <f t="shared" si="45"/>
        <v>0.46548716382093502</v>
      </c>
      <c r="W359">
        <f t="shared" si="46"/>
        <v>0.46548716382093502</v>
      </c>
    </row>
    <row r="360" spans="1:23" x14ac:dyDescent="0.25">
      <c r="A360">
        <v>24.9375</v>
      </c>
      <c r="B360">
        <f t="shared" si="51"/>
        <v>355</v>
      </c>
      <c r="C360">
        <f t="shared" si="47"/>
        <v>6.4907982510929436</v>
      </c>
      <c r="D360">
        <f t="shared" si="48"/>
        <v>22.952853270271035</v>
      </c>
      <c r="E360">
        <f t="shared" si="49"/>
        <v>3.9388226418238754</v>
      </c>
      <c r="F360">
        <f t="shared" si="50"/>
        <v>1.9846467297289649</v>
      </c>
      <c r="G360">
        <f t="shared" si="52"/>
        <v>2.1805339430961674</v>
      </c>
      <c r="H360">
        <f t="shared" si="53"/>
        <v>25.133387213367204</v>
      </c>
      <c r="S360">
        <v>19.618749999999999</v>
      </c>
      <c r="T360">
        <v>25.741396746076461</v>
      </c>
      <c r="U360">
        <f t="shared" si="45"/>
        <v>-6.1226467460764624</v>
      </c>
      <c r="W360">
        <f t="shared" si="46"/>
        <v>6.1226467460764624</v>
      </c>
    </row>
    <row r="361" spans="1:23" x14ac:dyDescent="0.25">
      <c r="A361">
        <v>25.693750000000001</v>
      </c>
      <c r="B361">
        <f t="shared" si="51"/>
        <v>356</v>
      </c>
      <c r="C361">
        <f t="shared" si="47"/>
        <v>6.5495304434678197</v>
      </c>
      <c r="D361">
        <f t="shared" si="48"/>
        <v>23.011585462645911</v>
      </c>
      <c r="E361">
        <f t="shared" si="49"/>
        <v>7.1940066054398812</v>
      </c>
      <c r="F361">
        <f t="shared" si="50"/>
        <v>2.6821645373540903</v>
      </c>
      <c r="G361">
        <f t="shared" si="52"/>
        <v>0.80840417151939481</v>
      </c>
      <c r="H361">
        <f t="shared" si="53"/>
        <v>23.819989634165307</v>
      </c>
      <c r="S361">
        <v>16.45</v>
      </c>
      <c r="T361">
        <v>19.510832972876781</v>
      </c>
      <c r="U361">
        <f t="shared" si="45"/>
        <v>-3.0608329728767814</v>
      </c>
      <c r="W361">
        <f t="shared" si="46"/>
        <v>3.0608329728767814</v>
      </c>
    </row>
    <row r="362" spans="1:23" x14ac:dyDescent="0.25">
      <c r="A362">
        <v>21.024999999999999</v>
      </c>
      <c r="B362">
        <f t="shared" si="51"/>
        <v>357</v>
      </c>
      <c r="C362">
        <f t="shared" si="47"/>
        <v>6.6063218686218574</v>
      </c>
      <c r="D362">
        <f t="shared" si="48"/>
        <v>23.06837688779995</v>
      </c>
      <c r="E362">
        <f t="shared" si="49"/>
        <v>4.1753891055950145</v>
      </c>
      <c r="F362">
        <f t="shared" si="50"/>
        <v>-2.0433768877999512</v>
      </c>
      <c r="G362">
        <f t="shared" si="52"/>
        <v>1.8097910800419121</v>
      </c>
      <c r="H362">
        <f t="shared" si="53"/>
        <v>24.878167967841861</v>
      </c>
      <c r="S362">
        <v>15.612500000000001</v>
      </c>
      <c r="T362">
        <v>19.506830048100127</v>
      </c>
      <c r="U362">
        <f t="shared" si="45"/>
        <v>-3.8943300481001266</v>
      </c>
      <c r="W362">
        <f t="shared" si="46"/>
        <v>3.8943300481001266</v>
      </c>
    </row>
    <row r="363" spans="1:23" x14ac:dyDescent="0.25">
      <c r="A363">
        <v>19.106249999999999</v>
      </c>
      <c r="B363">
        <f t="shared" si="51"/>
        <v>358</v>
      </c>
      <c r="C363">
        <f t="shared" si="47"/>
        <v>6.6611556980301154</v>
      </c>
      <c r="D363">
        <f t="shared" si="48"/>
        <v>23.123210717208206</v>
      </c>
      <c r="E363">
        <f t="shared" si="49"/>
        <v>16.135973403593869</v>
      </c>
      <c r="F363">
        <f t="shared" si="50"/>
        <v>-4.0169607172082067</v>
      </c>
      <c r="G363">
        <f t="shared" si="52"/>
        <v>-2.3001361531274935</v>
      </c>
      <c r="H363">
        <f t="shared" si="53"/>
        <v>20.823074564080713</v>
      </c>
      <c r="S363">
        <v>15.725</v>
      </c>
      <c r="T363">
        <v>18.526672954699052</v>
      </c>
      <c r="U363">
        <f t="shared" si="45"/>
        <v>-2.8016729546990522</v>
      </c>
      <c r="W363">
        <f t="shared" si="46"/>
        <v>2.8016729546990522</v>
      </c>
    </row>
    <row r="364" spans="1:23" x14ac:dyDescent="0.25">
      <c r="A364">
        <v>23.787500000000001</v>
      </c>
      <c r="B364">
        <f t="shared" si="51"/>
        <v>359</v>
      </c>
      <c r="C364">
        <f t="shared" si="47"/>
        <v>6.7140156832455373</v>
      </c>
      <c r="D364">
        <f t="shared" si="48"/>
        <v>23.17607070242363</v>
      </c>
      <c r="E364">
        <f t="shared" si="49"/>
        <v>0.37384578593473539</v>
      </c>
      <c r="F364">
        <f t="shared" si="50"/>
        <v>0.61142929757637177</v>
      </c>
      <c r="G364">
        <f t="shared" si="52"/>
        <v>-2.353583736363591</v>
      </c>
      <c r="H364">
        <f t="shared" si="53"/>
        <v>20.82248696606004</v>
      </c>
    </row>
    <row r="365" spans="1:23" x14ac:dyDescent="0.25">
      <c r="A365">
        <v>29.787500000000001</v>
      </c>
      <c r="B365">
        <f t="shared" si="51"/>
        <v>360</v>
      </c>
      <c r="C365">
        <f t="shared" si="47"/>
        <v>6.7648861607136856</v>
      </c>
      <c r="D365">
        <f t="shared" si="48"/>
        <v>23.226941179891778</v>
      </c>
      <c r="E365">
        <f t="shared" si="49"/>
        <v>43.040932032099803</v>
      </c>
      <c r="F365">
        <f t="shared" si="50"/>
        <v>6.5605588201082234</v>
      </c>
      <c r="G365">
        <f t="shared" si="52"/>
        <v>1.5073379820292552</v>
      </c>
      <c r="H365">
        <f t="shared" si="53"/>
        <v>24.734279161921034</v>
      </c>
    </row>
    <row r="366" spans="1:23" x14ac:dyDescent="0.25">
      <c r="A366">
        <v>28.512499999999999</v>
      </c>
      <c r="B366">
        <f t="shared" si="51"/>
        <v>361</v>
      </c>
      <c r="C366">
        <f t="shared" si="47"/>
        <v>6.8137520564142129</v>
      </c>
      <c r="D366">
        <f t="shared" si="48"/>
        <v>23.275807075592304</v>
      </c>
      <c r="E366">
        <f t="shared" si="49"/>
        <v>27.422952784541618</v>
      </c>
      <c r="F366">
        <f t="shared" si="50"/>
        <v>5.236692924407695</v>
      </c>
      <c r="G366">
        <f t="shared" si="52"/>
        <v>4.7712057605867599</v>
      </c>
      <c r="H366">
        <f t="shared" si="53"/>
        <v>28.047012836179064</v>
      </c>
    </row>
    <row r="367" spans="1:23" x14ac:dyDescent="0.25">
      <c r="A367">
        <v>19.618749999999999</v>
      </c>
      <c r="B367">
        <f t="shared" si="51"/>
        <v>362</v>
      </c>
      <c r="C367">
        <f t="shared" si="47"/>
        <v>6.8605988903276121</v>
      </c>
      <c r="D367">
        <f t="shared" si="48"/>
        <v>23.322653909505703</v>
      </c>
      <c r="E367">
        <f t="shared" si="49"/>
        <v>13.718904170851646</v>
      </c>
      <c r="F367">
        <f t="shared" si="50"/>
        <v>-3.7039039095057049</v>
      </c>
      <c r="G367">
        <f t="shared" si="52"/>
        <v>2.4187428365707557</v>
      </c>
      <c r="H367">
        <f t="shared" si="53"/>
        <v>25.741396746076461</v>
      </c>
    </row>
    <row r="368" spans="1:23" x14ac:dyDescent="0.25">
      <c r="A368">
        <v>16.45</v>
      </c>
      <c r="B368">
        <f t="shared" si="51"/>
        <v>363</v>
      </c>
      <c r="C368">
        <f t="shared" si="47"/>
        <v>6.905412780725956</v>
      </c>
      <c r="D368">
        <f t="shared" si="48"/>
        <v>23.367467799904048</v>
      </c>
      <c r="E368">
        <f t="shared" si="49"/>
        <v>47.851360762709362</v>
      </c>
      <c r="F368">
        <f t="shared" si="50"/>
        <v>-6.917467799904049</v>
      </c>
      <c r="G368">
        <f t="shared" si="52"/>
        <v>-3.8566348270272663</v>
      </c>
      <c r="H368">
        <f t="shared" si="53"/>
        <v>19.510832972876781</v>
      </c>
    </row>
    <row r="369" spans="1:8" x14ac:dyDescent="0.25">
      <c r="A369">
        <v>15.612500000000001</v>
      </c>
      <c r="B369">
        <f t="shared" si="51"/>
        <v>364</v>
      </c>
      <c r="C369">
        <f t="shared" si="47"/>
        <v>6.9481804482863589</v>
      </c>
      <c r="D369">
        <f t="shared" si="48"/>
        <v>23.410235467464449</v>
      </c>
      <c r="E369">
        <f t="shared" si="49"/>
        <v>60.804678420553003</v>
      </c>
      <c r="F369">
        <f t="shared" si="50"/>
        <v>-7.7977354674644488</v>
      </c>
      <c r="G369">
        <f t="shared" si="52"/>
        <v>-3.9034054193643239</v>
      </c>
      <c r="H369">
        <f t="shared" si="53"/>
        <v>19.506830048100127</v>
      </c>
    </row>
    <row r="370" spans="1:8" x14ac:dyDescent="0.25">
      <c r="A370">
        <v>15.725</v>
      </c>
      <c r="B370">
        <f t="shared" si="51"/>
        <v>365</v>
      </c>
      <c r="C370">
        <f t="shared" si="47"/>
        <v>6.9888892200259187</v>
      </c>
      <c r="D370">
        <f t="shared" si="48"/>
        <v>23.450944239204009</v>
      </c>
      <c r="E370">
        <f t="shared" si="49"/>
        <v>59.690214387289622</v>
      </c>
      <c r="F370">
        <f t="shared" si="50"/>
        <v>-7.7259442392040096</v>
      </c>
      <c r="G370">
        <f t="shared" si="52"/>
        <v>-4.9242712845049574</v>
      </c>
      <c r="H370">
        <f t="shared" si="53"/>
        <v>18.526672954699052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9271-AFCB-4E0D-931D-4D5D237A4D2C}">
  <dimension ref="A1:L366"/>
  <sheetViews>
    <sheetView workbookViewId="0">
      <selection activeCell="F3" sqref="F3"/>
    </sheetView>
  </sheetViews>
  <sheetFormatPr defaultRowHeight="15" x14ac:dyDescent="0.25"/>
  <sheetData>
    <row r="1" spans="1:12" x14ac:dyDescent="0.25">
      <c r="A1" t="s">
        <v>5</v>
      </c>
      <c r="B1" t="s">
        <v>20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>
        <v>0.84660000000000002</v>
      </c>
      <c r="L1" t="s">
        <v>22</v>
      </c>
    </row>
    <row r="2" spans="1:12" x14ac:dyDescent="0.25">
      <c r="A2">
        <v>18.5</v>
      </c>
      <c r="B2">
        <v>23.489582052235093</v>
      </c>
      <c r="C2">
        <f>A2-B2</f>
        <v>-4.9895820522350931</v>
      </c>
      <c r="G2">
        <f>AVERAGE(F3:F366)</f>
        <v>0.11958762205463708</v>
      </c>
      <c r="I2">
        <f>AVERAGE(H3:H366)</f>
        <v>1.7545560077185851</v>
      </c>
      <c r="J2">
        <v>-0.32069999999999999</v>
      </c>
      <c r="L2">
        <f>AVERAGE(A2:A366)</f>
        <v>16.868921580821919</v>
      </c>
    </row>
    <row r="3" spans="1:12" x14ac:dyDescent="0.25">
      <c r="A3">
        <v>19.418749999999999</v>
      </c>
      <c r="B3">
        <v>23.526137457339829</v>
      </c>
      <c r="C3">
        <f t="shared" ref="C3:C66" si="0">A3-B3</f>
        <v>-4.1073874573398292</v>
      </c>
      <c r="E3">
        <f>B3+D3</f>
        <v>23.526137457339829</v>
      </c>
      <c r="F3">
        <f>A3-E3</f>
        <v>-4.1073874573398292</v>
      </c>
      <c r="G3" t="s">
        <v>18</v>
      </c>
      <c r="H3">
        <f>ABS(F3)</f>
        <v>4.1073874573398292</v>
      </c>
      <c r="I3" t="s">
        <v>19</v>
      </c>
      <c r="J3">
        <v>0.14610000000000001</v>
      </c>
    </row>
    <row r="4" spans="1:12" x14ac:dyDescent="0.25">
      <c r="A4">
        <v>19.524999999999999</v>
      </c>
      <c r="B4">
        <v>23.560599622362748</v>
      </c>
      <c r="C4">
        <f t="shared" si="0"/>
        <v>-4.0355996223627493</v>
      </c>
      <c r="E4">
        <f t="shared" ref="E4:E67" si="1">B4+D4</f>
        <v>23.560599622362748</v>
      </c>
      <c r="F4">
        <f t="shared" ref="F4:F67" si="2">A4-E4</f>
        <v>-4.0355996223627493</v>
      </c>
      <c r="G4">
        <f>G2/L2</f>
        <v>7.089227457823674E-3</v>
      </c>
      <c r="H4">
        <f t="shared" ref="H4:H67" si="3">ABS(F4)</f>
        <v>4.0355996223627493</v>
      </c>
      <c r="I4">
        <f>I2/L2</f>
        <v>0.1040111544364116</v>
      </c>
    </row>
    <row r="5" spans="1:12" x14ac:dyDescent="0.25">
      <c r="A5">
        <v>21.03125</v>
      </c>
      <c r="B5">
        <v>23.592958335420604</v>
      </c>
      <c r="C5">
        <f t="shared" si="0"/>
        <v>-2.5617083354206045</v>
      </c>
      <c r="D5">
        <f>$J$1*C4+$J$2*C3+$J$3*C2</f>
        <v>-2.8282774205549677</v>
      </c>
      <c r="E5">
        <f t="shared" si="1"/>
        <v>20.764680914865636</v>
      </c>
      <c r="F5">
        <f t="shared" si="2"/>
        <v>0.26656908513436406</v>
      </c>
      <c r="H5">
        <f t="shared" si="3"/>
        <v>0.26656908513436406</v>
      </c>
    </row>
    <row r="6" spans="1:12" x14ac:dyDescent="0.25">
      <c r="A6">
        <v>23.931249999999999</v>
      </c>
      <c r="B6">
        <v>23.623204007928361</v>
      </c>
      <c r="C6">
        <f t="shared" si="0"/>
        <v>0.30804599207163719</v>
      </c>
      <c r="D6">
        <f t="shared" ref="D6:D69" si="4">$J$1*C5+$J$2*C4+$J$3*C3</f>
        <v>-1.4746147853926992</v>
      </c>
      <c r="E6">
        <f t="shared" si="1"/>
        <v>22.148589222535662</v>
      </c>
      <c r="F6">
        <f t="shared" si="2"/>
        <v>1.7826607774643364</v>
      </c>
      <c r="H6">
        <f t="shared" si="3"/>
        <v>1.7826607774643364</v>
      </c>
    </row>
    <row r="7" spans="1:12" x14ac:dyDescent="0.25">
      <c r="A7">
        <v>28.037500000000001</v>
      </c>
      <c r="B7">
        <v>23.651327677440499</v>
      </c>
      <c r="C7">
        <f t="shared" si="0"/>
        <v>4.3861723225595028</v>
      </c>
      <c r="D7">
        <f t="shared" si="4"/>
        <v>0.49273049523003809</v>
      </c>
      <c r="E7">
        <f t="shared" si="1"/>
        <v>24.144058172670537</v>
      </c>
      <c r="F7">
        <f t="shared" si="2"/>
        <v>3.8934418273294646</v>
      </c>
      <c r="H7">
        <f t="shared" si="3"/>
        <v>3.8934418273294646</v>
      </c>
    </row>
    <row r="8" spans="1:12" x14ac:dyDescent="0.25">
      <c r="A8">
        <v>30.893750000000001</v>
      </c>
      <c r="B8">
        <v>23.67732101030678</v>
      </c>
      <c r="C8">
        <f t="shared" si="0"/>
        <v>7.2164289896932203</v>
      </c>
      <c r="D8">
        <f t="shared" si="4"/>
        <v>3.2402775508165509</v>
      </c>
      <c r="E8">
        <f t="shared" si="1"/>
        <v>26.917598561123331</v>
      </c>
      <c r="F8">
        <f t="shared" si="2"/>
        <v>3.9761514388766699</v>
      </c>
      <c r="H8">
        <f t="shared" si="3"/>
        <v>3.9761514388766699</v>
      </c>
    </row>
    <row r="9" spans="1:12" x14ac:dyDescent="0.25">
      <c r="A9">
        <v>33.087499999999999</v>
      </c>
      <c r="B9">
        <v>23.701176304141697</v>
      </c>
      <c r="C9">
        <f t="shared" si="0"/>
        <v>9.3863236958583016</v>
      </c>
      <c r="D9">
        <f t="shared" si="4"/>
        <v>4.7477888382711146</v>
      </c>
      <c r="E9">
        <f t="shared" si="1"/>
        <v>28.44896514241281</v>
      </c>
      <c r="F9">
        <f t="shared" si="2"/>
        <v>4.6385348575871888</v>
      </c>
      <c r="H9">
        <f t="shared" si="3"/>
        <v>4.6385348575871888</v>
      </c>
    </row>
    <row r="10" spans="1:12" x14ac:dyDescent="0.25">
      <c r="A10">
        <v>24.78125</v>
      </c>
      <c r="B10">
        <v>23.722886490106848</v>
      </c>
      <c r="C10">
        <f t="shared" si="0"/>
        <v>1.0583635098931516</v>
      </c>
      <c r="D10">
        <f t="shared" si="4"/>
        <v>6.2729726402449657</v>
      </c>
      <c r="E10">
        <f t="shared" si="1"/>
        <v>29.995859130351814</v>
      </c>
      <c r="F10">
        <f t="shared" si="2"/>
        <v>-5.2146091303518141</v>
      </c>
      <c r="H10">
        <f t="shared" si="3"/>
        <v>5.2146091303518141</v>
      </c>
    </row>
    <row r="11" spans="1:12" x14ac:dyDescent="0.25">
      <c r="A11">
        <v>22.3125</v>
      </c>
      <c r="B11">
        <v>23.742445135005582</v>
      </c>
      <c r="C11">
        <f t="shared" si="0"/>
        <v>-1.4299451350055818</v>
      </c>
      <c r="D11">
        <f t="shared" si="4"/>
        <v>-1.0598631863920356</v>
      </c>
      <c r="E11">
        <f t="shared" si="1"/>
        <v>22.682581948613546</v>
      </c>
      <c r="F11">
        <f t="shared" si="2"/>
        <v>-0.37008194861354582</v>
      </c>
      <c r="H11">
        <f t="shared" si="3"/>
        <v>0.37008194861354582</v>
      </c>
    </row>
    <row r="12" spans="1:12" x14ac:dyDescent="0.25">
      <c r="A12">
        <v>27.443750000000001</v>
      </c>
      <c r="B12">
        <v>23.759846443189314</v>
      </c>
      <c r="C12">
        <f t="shared" si="0"/>
        <v>3.6839035568106873</v>
      </c>
      <c r="D12">
        <f t="shared" si="4"/>
        <v>-0.17866683695356156</v>
      </c>
      <c r="E12">
        <f t="shared" si="1"/>
        <v>23.581179606235754</v>
      </c>
      <c r="F12">
        <f t="shared" si="2"/>
        <v>3.8625703937642477</v>
      </c>
      <c r="H12">
        <f t="shared" si="3"/>
        <v>3.8625703937642477</v>
      </c>
    </row>
    <row r="13" spans="1:12" x14ac:dyDescent="0.25">
      <c r="A13">
        <v>24.181249999999999</v>
      </c>
      <c r="B13">
        <v>23.775085258274871</v>
      </c>
      <c r="C13">
        <f t="shared" si="0"/>
        <v>0.40616474172512795</v>
      </c>
      <c r="D13">
        <f t="shared" si="4"/>
        <v>3.7320030647876075</v>
      </c>
      <c r="E13">
        <f t="shared" si="1"/>
        <v>27.507088323062479</v>
      </c>
      <c r="F13">
        <f t="shared" si="2"/>
        <v>-3.3258383230624808</v>
      </c>
      <c r="H13">
        <f t="shared" si="3"/>
        <v>3.3258383230624808</v>
      </c>
    </row>
    <row r="14" spans="1:12" x14ac:dyDescent="0.25">
      <c r="A14">
        <v>25.793749999999999</v>
      </c>
      <c r="B14">
        <v>23.788157064672461</v>
      </c>
      <c r="C14">
        <f t="shared" si="0"/>
        <v>2.0055929353275381</v>
      </c>
      <c r="D14">
        <f t="shared" si="4"/>
        <v>-1.0464837845490096</v>
      </c>
      <c r="E14">
        <f t="shared" si="1"/>
        <v>22.74167328012345</v>
      </c>
      <c r="F14">
        <f t="shared" si="2"/>
        <v>3.052076719876549</v>
      </c>
      <c r="H14">
        <f t="shared" si="3"/>
        <v>3.052076719876549</v>
      </c>
    </row>
    <row r="15" spans="1:12" x14ac:dyDescent="0.25">
      <c r="A15">
        <v>28.481249999999999</v>
      </c>
      <c r="B15">
        <v>23.799057988923746</v>
      </c>
      <c r="C15">
        <f t="shared" si="0"/>
        <v>4.6821920110762534</v>
      </c>
      <c r="D15">
        <f t="shared" si="4"/>
        <v>2.1058962560270871</v>
      </c>
      <c r="E15">
        <f t="shared" si="1"/>
        <v>25.904954244950833</v>
      </c>
      <c r="F15">
        <f t="shared" si="2"/>
        <v>2.5762957550491663</v>
      </c>
      <c r="H15">
        <f t="shared" si="3"/>
        <v>2.5762957550491663</v>
      </c>
    </row>
    <row r="16" spans="1:12" x14ac:dyDescent="0.25">
      <c r="A16">
        <v>29.725010000000001</v>
      </c>
      <c r="B16">
        <v>23.807784800849596</v>
      </c>
      <c r="C16">
        <f t="shared" si="0"/>
        <v>5.9172251991504048</v>
      </c>
      <c r="D16">
        <f t="shared" si="4"/>
        <v>3.3800907709836561</v>
      </c>
      <c r="E16">
        <f t="shared" si="1"/>
        <v>27.187875571833253</v>
      </c>
      <c r="F16">
        <f t="shared" si="2"/>
        <v>2.5371344281667483</v>
      </c>
      <c r="H16">
        <f t="shared" si="3"/>
        <v>2.5371344281667483</v>
      </c>
    </row>
    <row r="17" spans="1:8" x14ac:dyDescent="0.25">
      <c r="A17">
        <v>21.918749999999999</v>
      </c>
      <c r="B17">
        <v>23.81433491450731</v>
      </c>
      <c r="C17">
        <f t="shared" si="0"/>
        <v>-1.8955849145073103</v>
      </c>
      <c r="D17">
        <f t="shared" si="4"/>
        <v>3.8009610034999319</v>
      </c>
      <c r="E17">
        <f t="shared" si="1"/>
        <v>27.615295918007241</v>
      </c>
      <c r="F17">
        <f t="shared" si="2"/>
        <v>-5.6965459180072422</v>
      </c>
      <c r="H17">
        <f t="shared" si="3"/>
        <v>5.6965459180072422</v>
      </c>
    </row>
    <row r="18" spans="1:8" x14ac:dyDescent="0.25">
      <c r="A18">
        <v>20.34375</v>
      </c>
      <c r="B18">
        <v>23.818706388956841</v>
      </c>
      <c r="C18">
        <f t="shared" si="0"/>
        <v>-3.4749563889568407</v>
      </c>
      <c r="D18">
        <f t="shared" si="4"/>
        <v>-2.818388057171183</v>
      </c>
      <c r="E18">
        <f t="shared" si="1"/>
        <v>21.000318331785657</v>
      </c>
      <c r="F18">
        <f t="shared" si="2"/>
        <v>-0.65656833178565677</v>
      </c>
      <c r="H18">
        <f t="shared" si="3"/>
        <v>0.65656833178565677</v>
      </c>
    </row>
    <row r="19" spans="1:8" x14ac:dyDescent="0.25">
      <c r="A19">
        <v>20.443750000000001</v>
      </c>
      <c r="B19">
        <v>23.820897928835961</v>
      </c>
      <c r="C19">
        <f t="shared" si="0"/>
        <v>-3.37714792883596</v>
      </c>
      <c r="D19">
        <f t="shared" si="4"/>
        <v>-1.4694773952124931</v>
      </c>
      <c r="E19">
        <f t="shared" si="1"/>
        <v>22.351420533623468</v>
      </c>
      <c r="F19">
        <f t="shared" si="2"/>
        <v>-1.9076705336234667</v>
      </c>
      <c r="H19">
        <f t="shared" si="3"/>
        <v>1.9076705336234667</v>
      </c>
    </row>
    <row r="20" spans="1:8" x14ac:dyDescent="0.25">
      <c r="A20">
        <v>21.543749999999999</v>
      </c>
      <c r="B20">
        <v>23.820908884744117</v>
      </c>
      <c r="C20">
        <f t="shared" si="0"/>
        <v>-2.277158884744118</v>
      </c>
      <c r="D20">
        <f t="shared" si="4"/>
        <v>-2.0216198786235831</v>
      </c>
      <c r="E20">
        <f t="shared" si="1"/>
        <v>21.799289006120535</v>
      </c>
      <c r="F20">
        <f t="shared" si="2"/>
        <v>-0.25553900612053582</v>
      </c>
      <c r="H20">
        <f t="shared" si="3"/>
        <v>0.25553900612053582</v>
      </c>
    </row>
    <row r="21" spans="1:8" x14ac:dyDescent="0.25">
      <c r="A21">
        <v>25.487500000000001</v>
      </c>
      <c r="B21">
        <v>23.818739253434835</v>
      </c>
      <c r="C21">
        <f t="shared" si="0"/>
        <v>1.6687607465651659</v>
      </c>
      <c r="D21">
        <f t="shared" si="4"/>
        <v>-1.3524824994732727</v>
      </c>
      <c r="E21">
        <f t="shared" si="1"/>
        <v>22.466256753961563</v>
      </c>
      <c r="F21">
        <f t="shared" si="2"/>
        <v>3.0212432460384377</v>
      </c>
      <c r="H21">
        <f t="shared" si="3"/>
        <v>3.0212432460384377</v>
      </c>
    </row>
    <row r="22" spans="1:8" x14ac:dyDescent="0.25">
      <c r="A22">
        <v>25.456250000000001</v>
      </c>
      <c r="B22">
        <v>23.814389677816688</v>
      </c>
      <c r="C22">
        <f t="shared" si="0"/>
        <v>1.6418603221833123</v>
      </c>
      <c r="D22">
        <f t="shared" si="4"/>
        <v>1.6496563899765744</v>
      </c>
      <c r="E22">
        <f t="shared" si="1"/>
        <v>25.464046067793262</v>
      </c>
      <c r="F22">
        <f t="shared" si="2"/>
        <v>-7.7960677932615852E-3</v>
      </c>
      <c r="H22">
        <f t="shared" si="3"/>
        <v>7.7960677932615852E-3</v>
      </c>
    </row>
    <row r="23" spans="1:8" x14ac:dyDescent="0.25">
      <c r="A23">
        <v>26.487500000000001</v>
      </c>
      <c r="B23">
        <v>23.807861446762811</v>
      </c>
      <c r="C23">
        <f t="shared" si="0"/>
        <v>2.67963855323719</v>
      </c>
      <c r="D23">
        <f t="shared" si="4"/>
        <v>0.52213446427582788</v>
      </c>
      <c r="E23">
        <f t="shared" si="1"/>
        <v>24.329995911038637</v>
      </c>
      <c r="F23">
        <f t="shared" si="2"/>
        <v>2.1575040889613639</v>
      </c>
      <c r="H23">
        <f t="shared" si="3"/>
        <v>2.1575040889613639</v>
      </c>
    </row>
    <row r="24" spans="1:8" x14ac:dyDescent="0.25">
      <c r="A24">
        <v>26.131250000000001</v>
      </c>
      <c r="B24">
        <v>23.799156494728955</v>
      </c>
      <c r="C24">
        <f t="shared" si="0"/>
        <v>2.3320935052710468</v>
      </c>
      <c r="D24">
        <f t="shared" si="4"/>
        <v>1.9858433389195875</v>
      </c>
      <c r="E24">
        <f t="shared" si="1"/>
        <v>25.784999833648541</v>
      </c>
      <c r="F24">
        <f t="shared" si="2"/>
        <v>0.34625016635146011</v>
      </c>
      <c r="H24">
        <f t="shared" si="3"/>
        <v>0.34625016635146011</v>
      </c>
    </row>
    <row r="25" spans="1:8" x14ac:dyDescent="0.25">
      <c r="A25">
        <v>27.462499999999999</v>
      </c>
      <c r="B25">
        <v>23.78827740118027</v>
      </c>
      <c r="C25">
        <f t="shared" si="0"/>
        <v>3.6742225988197283</v>
      </c>
      <c r="D25">
        <f t="shared" si="4"/>
        <v>1.3548660706102833</v>
      </c>
      <c r="E25">
        <f t="shared" si="1"/>
        <v>25.143143471790552</v>
      </c>
      <c r="F25">
        <f t="shared" si="2"/>
        <v>2.3193565282094468</v>
      </c>
      <c r="H25">
        <f t="shared" si="3"/>
        <v>2.3193565282094468</v>
      </c>
    </row>
    <row r="26" spans="1:8" x14ac:dyDescent="0.25">
      <c r="A26">
        <v>28.45</v>
      </c>
      <c r="B26">
        <v>23.775227389826973</v>
      </c>
      <c r="C26">
        <f t="shared" si="0"/>
        <v>4.6747726101730258</v>
      </c>
      <c r="D26">
        <f t="shared" si="4"/>
        <v>2.7541896576483111</v>
      </c>
      <c r="E26">
        <f t="shared" si="1"/>
        <v>26.529417047475285</v>
      </c>
      <c r="F26">
        <f t="shared" si="2"/>
        <v>1.9205829525247147</v>
      </c>
      <c r="H26">
        <f t="shared" si="3"/>
        <v>1.9205829525247147</v>
      </c>
    </row>
    <row r="27" spans="1:8" x14ac:dyDescent="0.25">
      <c r="A27">
        <v>22.568750000000001</v>
      </c>
      <c r="B27">
        <v>23.760010327669065</v>
      </c>
      <c r="C27">
        <f t="shared" si="0"/>
        <v>-1.1912603276690632</v>
      </c>
      <c r="D27">
        <f t="shared" si="4"/>
        <v>3.120058165451097</v>
      </c>
      <c r="E27">
        <f t="shared" si="1"/>
        <v>26.880068493120163</v>
      </c>
      <c r="F27">
        <f t="shared" si="2"/>
        <v>-4.3113184931201616</v>
      </c>
      <c r="H27">
        <f t="shared" si="3"/>
        <v>4.3113184931201616</v>
      </c>
    </row>
    <row r="28" spans="1:8" x14ac:dyDescent="0.25">
      <c r="A28">
        <v>23.143750000000001</v>
      </c>
      <c r="B28">
        <v>23.742630723850475</v>
      </c>
      <c r="C28">
        <f t="shared" si="0"/>
        <v>-0.59888072385047408</v>
      </c>
      <c r="D28">
        <f t="shared" si="4"/>
        <v>-1.9709166477995557</v>
      </c>
      <c r="E28">
        <f t="shared" si="1"/>
        <v>21.77171407605092</v>
      </c>
      <c r="F28">
        <f t="shared" si="2"/>
        <v>1.3720359239490811</v>
      </c>
      <c r="H28">
        <f t="shared" si="3"/>
        <v>1.3720359239490811</v>
      </c>
    </row>
    <row r="29" spans="1:8" x14ac:dyDescent="0.25">
      <c r="A29">
        <v>22.274999999999999</v>
      </c>
      <c r="B29">
        <v>23.723093728322901</v>
      </c>
      <c r="C29">
        <f t="shared" si="0"/>
        <v>-1.4480937283229025</v>
      </c>
      <c r="D29">
        <f t="shared" si="4"/>
        <v>0.55800904461793621</v>
      </c>
      <c r="E29">
        <f t="shared" si="1"/>
        <v>24.281102772940837</v>
      </c>
      <c r="F29">
        <f t="shared" si="2"/>
        <v>-2.0061027729408387</v>
      </c>
      <c r="H29">
        <f t="shared" si="3"/>
        <v>2.0061027729408387</v>
      </c>
    </row>
    <row r="30" spans="1:8" x14ac:dyDescent="0.25">
      <c r="A30">
        <v>18.6875</v>
      </c>
      <c r="B30">
        <v>23.701405130319756</v>
      </c>
      <c r="C30">
        <f t="shared" si="0"/>
        <v>-5.0139051303197562</v>
      </c>
      <c r="D30">
        <f t="shared" si="4"/>
        <v>-1.2079382361317725</v>
      </c>
      <c r="E30">
        <f t="shared" si="1"/>
        <v>22.493466894187982</v>
      </c>
      <c r="F30">
        <f t="shared" si="2"/>
        <v>-3.8059668941879821</v>
      </c>
      <c r="H30">
        <f t="shared" si="3"/>
        <v>3.8059668941879821</v>
      </c>
    </row>
    <row r="31" spans="1:8" x14ac:dyDescent="0.25">
      <c r="A31">
        <v>18.1875</v>
      </c>
      <c r="B31">
        <v>23.677571356640708</v>
      </c>
      <c r="C31">
        <f t="shared" si="0"/>
        <v>-5.4900713566407084</v>
      </c>
      <c r="D31">
        <f t="shared" si="4"/>
        <v>-3.8678648984101054</v>
      </c>
      <c r="E31">
        <f t="shared" si="1"/>
        <v>19.809706458230604</v>
      </c>
      <c r="F31">
        <f t="shared" si="2"/>
        <v>-1.6222064582306039</v>
      </c>
      <c r="H31">
        <f t="shared" si="3"/>
        <v>1.6222064582306039</v>
      </c>
    </row>
    <row r="32" spans="1:8" x14ac:dyDescent="0.25">
      <c r="A32">
        <v>17.856249999999999</v>
      </c>
      <c r="B32">
        <v>23.651599469747275</v>
      </c>
      <c r="C32">
        <f t="shared" si="0"/>
        <v>-5.7953494697472756</v>
      </c>
      <c r="D32">
        <f t="shared" si="4"/>
        <v>-3.2515015289464539</v>
      </c>
      <c r="E32">
        <f t="shared" si="1"/>
        <v>20.400097940800819</v>
      </c>
      <c r="F32">
        <f t="shared" si="2"/>
        <v>-2.5438479408008199</v>
      </c>
      <c r="H32">
        <f t="shared" si="3"/>
        <v>2.5438479408008199</v>
      </c>
    </row>
    <row r="33" spans="1:8" x14ac:dyDescent="0.25">
      <c r="A33">
        <v>20.09375</v>
      </c>
      <c r="B33">
        <v>23.623497165670059</v>
      </c>
      <c r="C33">
        <f t="shared" si="0"/>
        <v>-3.5297471656700594</v>
      </c>
      <c r="D33">
        <f t="shared" si="4"/>
        <v>-3.8782085165530851</v>
      </c>
      <c r="E33">
        <f t="shared" si="1"/>
        <v>19.745288649116976</v>
      </c>
      <c r="F33">
        <f t="shared" si="2"/>
        <v>0.34846135088302432</v>
      </c>
      <c r="H33">
        <f t="shared" si="3"/>
        <v>0.34846135088302432</v>
      </c>
    </row>
    <row r="34" spans="1:8" x14ac:dyDescent="0.25">
      <c r="A34">
        <v>20.675000000000001</v>
      </c>
      <c r="B34">
        <v>23.593272771728259</v>
      </c>
      <c r="C34">
        <f t="shared" si="0"/>
        <v>-2.9182727717282582</v>
      </c>
      <c r="D34">
        <f t="shared" si="4"/>
        <v>-1.9318148007135285</v>
      </c>
      <c r="E34">
        <f t="shared" si="1"/>
        <v>21.66145797101473</v>
      </c>
      <c r="F34">
        <f t="shared" si="2"/>
        <v>-0.98645797101472965</v>
      </c>
      <c r="H34">
        <f t="shared" si="3"/>
        <v>0.98645797101472965</v>
      </c>
    </row>
    <row r="35" spans="1:8" x14ac:dyDescent="0.25">
      <c r="A35">
        <v>20.012499999999999</v>
      </c>
      <c r="B35">
        <v>23.560935244062094</v>
      </c>
      <c r="C35">
        <f t="shared" si="0"/>
        <v>-3.5484352440620945</v>
      </c>
      <c r="D35">
        <f t="shared" si="4"/>
        <v>-2.1853203700448325</v>
      </c>
      <c r="E35">
        <f t="shared" si="1"/>
        <v>21.375614874017263</v>
      </c>
      <c r="F35">
        <f t="shared" si="2"/>
        <v>-1.3631148740172634</v>
      </c>
      <c r="H35">
        <f t="shared" si="3"/>
        <v>1.3631148740172634</v>
      </c>
    </row>
    <row r="36" spans="1:8" x14ac:dyDescent="0.25">
      <c r="A36">
        <v>22.956250000000001</v>
      </c>
      <c r="B36">
        <v>23.526494164978914</v>
      </c>
      <c r="C36">
        <f t="shared" si="0"/>
        <v>-0.57024416497891295</v>
      </c>
      <c r="D36">
        <f t="shared" si="4"/>
        <v>-2.583911260634113</v>
      </c>
      <c r="E36">
        <f t="shared" si="1"/>
        <v>20.9425829043448</v>
      </c>
      <c r="F36">
        <f t="shared" si="2"/>
        <v>2.013667095655201</v>
      </c>
      <c r="H36">
        <f t="shared" si="3"/>
        <v>2.013667095655201</v>
      </c>
    </row>
    <row r="37" spans="1:8" x14ac:dyDescent="0.25">
      <c r="A37">
        <v>23.375</v>
      </c>
      <c r="B37">
        <v>23.489959740113747</v>
      </c>
      <c r="C37">
        <f t="shared" si="0"/>
        <v>-0.11495974011374699</v>
      </c>
      <c r="D37">
        <f t="shared" si="4"/>
        <v>0.22885482075006736</v>
      </c>
      <c r="E37">
        <f t="shared" si="1"/>
        <v>23.718814560863816</v>
      </c>
      <c r="F37">
        <f t="shared" si="2"/>
        <v>-0.3438145608638159</v>
      </c>
      <c r="H37">
        <f t="shared" si="3"/>
        <v>0.3438145608638159</v>
      </c>
    </row>
    <row r="38" spans="1:8" x14ac:dyDescent="0.25">
      <c r="A38">
        <v>24.643750000000001</v>
      </c>
      <c r="B38">
        <v>23.451342795405161</v>
      </c>
      <c r="C38">
        <f t="shared" si="0"/>
        <v>1.19240720459484</v>
      </c>
      <c r="D38">
        <f t="shared" si="4"/>
        <v>-0.43287400142903293</v>
      </c>
      <c r="E38">
        <f t="shared" si="1"/>
        <v>23.018468793976126</v>
      </c>
      <c r="F38">
        <f t="shared" si="2"/>
        <v>1.6252812060238746</v>
      </c>
      <c r="H38">
        <f t="shared" si="3"/>
        <v>1.6252812060238746</v>
      </c>
    </row>
    <row r="39" spans="1:8" x14ac:dyDescent="0.25">
      <c r="A39">
        <v>26.381250000000001</v>
      </c>
      <c r="B39">
        <v>23.410654773887295</v>
      </c>
      <c r="C39">
        <f t="shared" si="0"/>
        <v>2.9705952261127067</v>
      </c>
      <c r="D39">
        <f t="shared" si="4"/>
        <v>0.96304685556105096</v>
      </c>
      <c r="E39">
        <f t="shared" si="1"/>
        <v>24.373701629448345</v>
      </c>
      <c r="F39">
        <f t="shared" si="2"/>
        <v>2.0075483705516568</v>
      </c>
      <c r="H39">
        <f t="shared" si="3"/>
        <v>2.0075483705516568</v>
      </c>
    </row>
    <row r="40" spans="1:8" x14ac:dyDescent="0.25">
      <c r="A40">
        <v>27.737500000000001</v>
      </c>
      <c r="B40">
        <v>23.367907732299045</v>
      </c>
      <c r="C40">
        <f t="shared" si="0"/>
        <v>4.3695922677009555</v>
      </c>
      <c r="D40">
        <f t="shared" si="4"/>
        <v>2.1157053098828342</v>
      </c>
      <c r="E40">
        <f t="shared" si="1"/>
        <v>25.483613042181879</v>
      </c>
      <c r="F40">
        <f t="shared" si="2"/>
        <v>2.2538869578181213</v>
      </c>
      <c r="H40">
        <f t="shared" si="3"/>
        <v>2.2538869578181213</v>
      </c>
    </row>
    <row r="41" spans="1:8" x14ac:dyDescent="0.25">
      <c r="A41">
        <v>20.943750000000001</v>
      </c>
      <c r="B41">
        <v>23.323114337511392</v>
      </c>
      <c r="C41">
        <f t="shared" si="0"/>
        <v>-2.3793643375113902</v>
      </c>
      <c r="D41">
        <f t="shared" si="4"/>
        <v>2.9208376174125901</v>
      </c>
      <c r="E41">
        <f t="shared" si="1"/>
        <v>26.243951954923983</v>
      </c>
      <c r="F41">
        <f t="shared" si="2"/>
        <v>-5.3002019549239812</v>
      </c>
      <c r="H41">
        <f t="shared" si="3"/>
        <v>5.3002019549239812</v>
      </c>
    </row>
    <row r="42" spans="1:8" x14ac:dyDescent="0.25">
      <c r="A42">
        <v>18.818750000000001</v>
      </c>
      <c r="B42">
        <v>23.276287862773927</v>
      </c>
      <c r="C42">
        <f t="shared" si="0"/>
        <v>-4.4575378627739255</v>
      </c>
      <c r="D42">
        <f t="shared" si="4"/>
        <v>-2.9816941258537728</v>
      </c>
      <c r="E42">
        <f t="shared" si="1"/>
        <v>20.294593736920156</v>
      </c>
      <c r="F42">
        <f t="shared" si="2"/>
        <v>-1.4758437369201545</v>
      </c>
      <c r="H42">
        <f t="shared" si="3"/>
        <v>1.4758437369201545</v>
      </c>
    </row>
    <row r="43" spans="1:8" x14ac:dyDescent="0.25">
      <c r="A43">
        <v>19.400010000000002</v>
      </c>
      <c r="B43">
        <v>23.227442183781712</v>
      </c>
      <c r="C43">
        <f t="shared" si="0"/>
        <v>-3.8274321837817098</v>
      </c>
      <c r="D43">
        <f t="shared" si="4"/>
        <v>-2.3722919812733929</v>
      </c>
      <c r="E43">
        <f t="shared" si="1"/>
        <v>20.85515020250832</v>
      </c>
      <c r="F43">
        <f t="shared" si="2"/>
        <v>-1.4551402025083178</v>
      </c>
      <c r="H43">
        <f t="shared" si="3"/>
        <v>1.4551402025083178</v>
      </c>
    </row>
    <row r="44" spans="1:8" x14ac:dyDescent="0.25">
      <c r="A44">
        <v>22.581250000000001</v>
      </c>
      <c r="B44">
        <v>23.176591774563612</v>
      </c>
      <c r="C44">
        <f t="shared" si="0"/>
        <v>-0.59534177456361093</v>
      </c>
      <c r="D44">
        <f t="shared" si="4"/>
        <v>-2.1583968239084119</v>
      </c>
      <c r="E44">
        <f t="shared" si="1"/>
        <v>21.0181949506552</v>
      </c>
      <c r="F44">
        <f t="shared" si="2"/>
        <v>1.5630550493448006</v>
      </c>
      <c r="H44">
        <f t="shared" si="3"/>
        <v>1.5630550493448006</v>
      </c>
    </row>
    <row r="45" spans="1:8" x14ac:dyDescent="0.25">
      <c r="A45">
        <v>20.637499999999999</v>
      </c>
      <c r="B45">
        <v>23.123751703193321</v>
      </c>
      <c r="C45">
        <f t="shared" si="0"/>
        <v>-2.4862517031933216</v>
      </c>
      <c r="D45">
        <f t="shared" si="4"/>
        <v>7.2194873241970714E-2</v>
      </c>
      <c r="E45">
        <f t="shared" si="1"/>
        <v>23.19594657643529</v>
      </c>
      <c r="F45">
        <f t="shared" si="2"/>
        <v>-2.5584465764352906</v>
      </c>
      <c r="H45">
        <f t="shared" si="3"/>
        <v>2.5584465764352906</v>
      </c>
    </row>
    <row r="46" spans="1:8" x14ac:dyDescent="0.25">
      <c r="A46">
        <v>23.506250000000001</v>
      </c>
      <c r="B46">
        <v>23.068937627324367</v>
      </c>
      <c r="C46">
        <f t="shared" si="0"/>
        <v>0.43731237267563472</v>
      </c>
      <c r="D46">
        <f t="shared" si="4"/>
        <v>-2.4731224268714236</v>
      </c>
      <c r="E46">
        <f t="shared" si="1"/>
        <v>20.595815200452943</v>
      </c>
      <c r="F46">
        <f t="shared" si="2"/>
        <v>2.9104347995470583</v>
      </c>
      <c r="H46">
        <f t="shared" si="3"/>
        <v>2.9104347995470583</v>
      </c>
    </row>
    <row r="47" spans="1:8" x14ac:dyDescent="0.25">
      <c r="A47">
        <v>27.262499999999999</v>
      </c>
      <c r="B47">
        <v>23.012165789550416</v>
      </c>
      <c r="C47">
        <f t="shared" si="0"/>
        <v>4.2503342104495836</v>
      </c>
      <c r="D47">
        <f t="shared" si="4"/>
        <v>1.080590142657547</v>
      </c>
      <c r="E47">
        <f t="shared" si="1"/>
        <v>24.092755932207965</v>
      </c>
      <c r="F47">
        <f t="shared" si="2"/>
        <v>3.1697440677920348</v>
      </c>
      <c r="H47">
        <f t="shared" si="3"/>
        <v>3.1697440677920348</v>
      </c>
    </row>
    <row r="48" spans="1:8" x14ac:dyDescent="0.25">
      <c r="A48">
        <v>28.625</v>
      </c>
      <c r="B48">
        <v>22.953453012592234</v>
      </c>
      <c r="C48">
        <f t="shared" si="0"/>
        <v>5.6715469874077655</v>
      </c>
      <c r="D48">
        <f t="shared" si="4"/>
        <v>3.0948454908129972</v>
      </c>
      <c r="E48">
        <f t="shared" si="1"/>
        <v>26.048298503405231</v>
      </c>
      <c r="F48">
        <f t="shared" si="2"/>
        <v>2.5767014965947688</v>
      </c>
      <c r="H48">
        <f t="shared" si="3"/>
        <v>2.5767014965947688</v>
      </c>
    </row>
    <row r="49" spans="1:8" x14ac:dyDescent="0.25">
      <c r="A49">
        <v>27.193750000000001</v>
      </c>
      <c r="B49">
        <v>22.892816694312764</v>
      </c>
      <c r="C49">
        <f t="shared" si="0"/>
        <v>4.3009333056872379</v>
      </c>
      <c r="D49">
        <f t="shared" si="4"/>
        <v>3.5023408358961436</v>
      </c>
      <c r="E49">
        <f t="shared" si="1"/>
        <v>26.395157530208905</v>
      </c>
      <c r="F49">
        <f t="shared" si="2"/>
        <v>0.79859246979109599</v>
      </c>
      <c r="H49">
        <f t="shared" si="3"/>
        <v>0.79859246979109599</v>
      </c>
    </row>
    <row r="50" spans="1:8" x14ac:dyDescent="0.25">
      <c r="A50">
        <v>28.65625</v>
      </c>
      <c r="B50">
        <v>22.830274802561743</v>
      </c>
      <c r="C50">
        <f t="shared" si="0"/>
        <v>5.8259751974382574</v>
      </c>
      <c r="D50">
        <f t="shared" si="4"/>
        <v>2.4432788458798296</v>
      </c>
      <c r="E50">
        <f t="shared" si="1"/>
        <v>25.27355364844157</v>
      </c>
      <c r="F50">
        <f t="shared" si="2"/>
        <v>3.3826963515584296</v>
      </c>
      <c r="H50">
        <f t="shared" si="3"/>
        <v>3.3826963515584296</v>
      </c>
    </row>
    <row r="51" spans="1:8" x14ac:dyDescent="0.25">
      <c r="A51">
        <v>27.975000000000001</v>
      </c>
      <c r="B51">
        <v>22.765845869851468</v>
      </c>
      <c r="C51">
        <f t="shared" si="0"/>
        <v>5.2091541301485336</v>
      </c>
      <c r="D51">
        <f t="shared" si="4"/>
        <v>4.3815743058776064</v>
      </c>
      <c r="E51">
        <f t="shared" si="1"/>
        <v>27.147420175729074</v>
      </c>
      <c r="F51">
        <f t="shared" si="2"/>
        <v>0.82757982427092713</v>
      </c>
      <c r="H51">
        <f t="shared" si="3"/>
        <v>0.82757982427092713</v>
      </c>
    </row>
    <row r="52" spans="1:8" x14ac:dyDescent="0.25">
      <c r="A52">
        <v>27.68751</v>
      </c>
      <c r="B52">
        <v>22.699548987865192</v>
      </c>
      <c r="C52">
        <f t="shared" si="0"/>
        <v>4.9879610121348072</v>
      </c>
      <c r="D52">
        <f t="shared" si="4"/>
        <v>3.1700459967262051</v>
      </c>
      <c r="E52">
        <f t="shared" si="1"/>
        <v>25.869594984591398</v>
      </c>
      <c r="F52">
        <f t="shared" si="2"/>
        <v>1.8179150154086017</v>
      </c>
      <c r="H52">
        <f t="shared" si="3"/>
        <v>1.8179150154086017</v>
      </c>
    </row>
    <row r="53" spans="1:8" x14ac:dyDescent="0.25">
      <c r="A53">
        <v>24.6875</v>
      </c>
      <c r="B53">
        <v>22.631403801799845</v>
      </c>
      <c r="C53">
        <f t="shared" si="0"/>
        <v>2.0560961982001551</v>
      </c>
      <c r="D53">
        <f t="shared" si="4"/>
        <v>3.4034070396804235</v>
      </c>
      <c r="E53">
        <f t="shared" si="1"/>
        <v>26.034810841480269</v>
      </c>
      <c r="F53">
        <f t="shared" si="2"/>
        <v>-1.3473108414802688</v>
      </c>
      <c r="H53">
        <f t="shared" si="3"/>
        <v>1.3473108414802688</v>
      </c>
    </row>
    <row r="54" spans="1:8" x14ac:dyDescent="0.25">
      <c r="A54">
        <v>24.53125</v>
      </c>
      <c r="B54">
        <v>22.561430504544756</v>
      </c>
      <c r="C54">
        <f t="shared" si="0"/>
        <v>1.9698194954552442</v>
      </c>
      <c r="D54">
        <f t="shared" si="4"/>
        <v>0.90210936321931956</v>
      </c>
      <c r="E54">
        <f t="shared" si="1"/>
        <v>23.463539867764077</v>
      </c>
      <c r="F54">
        <f t="shared" si="2"/>
        <v>1.0677101322359235</v>
      </c>
      <c r="H54">
        <f t="shared" si="3"/>
        <v>1.0677101322359235</v>
      </c>
    </row>
    <row r="55" spans="1:8" x14ac:dyDescent="0.25">
      <c r="A55">
        <v>21.425000000000001</v>
      </c>
      <c r="B55">
        <v>22.489649830698049</v>
      </c>
      <c r="C55">
        <f t="shared" si="0"/>
        <v>-1.0646498306980483</v>
      </c>
      <c r="D55">
        <f t="shared" si="4"/>
        <v>1.7370002379625156</v>
      </c>
      <c r="E55">
        <f t="shared" si="1"/>
        <v>24.226650068660565</v>
      </c>
      <c r="F55">
        <f t="shared" si="2"/>
        <v>-2.8016500686605639</v>
      </c>
      <c r="H55">
        <f t="shared" si="3"/>
        <v>2.8016500686605639</v>
      </c>
    </row>
    <row r="56" spans="1:8" x14ac:dyDescent="0.25">
      <c r="A56">
        <v>20.55</v>
      </c>
      <c r="B56">
        <v>22.416083050422543</v>
      </c>
      <c r="C56">
        <f t="shared" si="0"/>
        <v>-1.8660830504225423</v>
      </c>
      <c r="D56">
        <f t="shared" si="4"/>
        <v>-1.2326580043044217</v>
      </c>
      <c r="E56">
        <f t="shared" si="1"/>
        <v>21.183425046118121</v>
      </c>
      <c r="F56">
        <f t="shared" si="2"/>
        <v>-0.63342504611811989</v>
      </c>
      <c r="H56">
        <f t="shared" si="3"/>
        <v>0.63342504611811989</v>
      </c>
    </row>
    <row r="57" spans="1:8" x14ac:dyDescent="0.25">
      <c r="A57">
        <v>25.212499999999999</v>
      </c>
      <c r="B57">
        <v>22.340751963142925</v>
      </c>
      <c r="C57">
        <f t="shared" si="0"/>
        <v>2.871748036857074</v>
      </c>
      <c r="D57">
        <f t="shared" si="4"/>
        <v>-0.95060208149684899</v>
      </c>
      <c r="E57">
        <f t="shared" si="1"/>
        <v>21.390149881646074</v>
      </c>
      <c r="F57">
        <f t="shared" si="2"/>
        <v>3.8223501183539241</v>
      </c>
      <c r="H57">
        <f t="shared" si="3"/>
        <v>3.8223501183539241</v>
      </c>
    </row>
    <row r="58" spans="1:8" x14ac:dyDescent="0.25">
      <c r="A58">
        <v>24.675000000000001</v>
      </c>
      <c r="B58">
        <v>22.263678891086141</v>
      </c>
      <c r="C58">
        <f t="shared" si="0"/>
        <v>2.4113211089138602</v>
      </c>
      <c r="D58">
        <f t="shared" si="4"/>
        <v>2.8741293820087237</v>
      </c>
      <c r="E58">
        <f t="shared" si="1"/>
        <v>25.137808273094866</v>
      </c>
      <c r="F58">
        <f t="shared" si="2"/>
        <v>-0.46280827309486483</v>
      </c>
      <c r="H58">
        <f t="shared" si="3"/>
        <v>0.46280827309486483</v>
      </c>
    </row>
    <row r="59" spans="1:8" x14ac:dyDescent="0.25">
      <c r="A59">
        <v>25.28125</v>
      </c>
      <c r="B59">
        <v>22.184886672666813</v>
      </c>
      <c r="C59">
        <f t="shared" si="0"/>
        <v>3.0963633273331865</v>
      </c>
      <c r="D59">
        <f t="shared" si="4"/>
        <v>0.84782012171967702</v>
      </c>
      <c r="E59">
        <f t="shared" si="1"/>
        <v>23.032706794386492</v>
      </c>
      <c r="F59">
        <f t="shared" si="2"/>
        <v>2.2485432056135082</v>
      </c>
      <c r="H59">
        <f t="shared" si="3"/>
        <v>2.2485432056135082</v>
      </c>
    </row>
    <row r="60" spans="1:8" x14ac:dyDescent="0.25">
      <c r="A60">
        <v>26.65</v>
      </c>
      <c r="B60">
        <v>22.104398655719734</v>
      </c>
      <c r="C60">
        <f t="shared" si="0"/>
        <v>4.5456013442802643</v>
      </c>
      <c r="D60">
        <f t="shared" si="4"/>
        <v>2.2676329014764192</v>
      </c>
      <c r="E60">
        <f t="shared" si="1"/>
        <v>24.372031557196152</v>
      </c>
      <c r="F60">
        <f t="shared" si="2"/>
        <v>2.2779684428038465</v>
      </c>
      <c r="H60">
        <f t="shared" si="3"/>
        <v>2.2779684428038465</v>
      </c>
    </row>
    <row r="61" spans="1:8" x14ac:dyDescent="0.25">
      <c r="A61">
        <v>26.375</v>
      </c>
      <c r="B61">
        <v>22.022238690581396</v>
      </c>
      <c r="C61">
        <f t="shared" si="0"/>
        <v>4.3527613094186037</v>
      </c>
      <c r="D61">
        <f t="shared" si="4"/>
        <v>3.2075963930042337</v>
      </c>
      <c r="E61">
        <f t="shared" si="1"/>
        <v>25.22983508358563</v>
      </c>
      <c r="F61">
        <f t="shared" si="2"/>
        <v>1.1451649164143696</v>
      </c>
      <c r="H61">
        <f t="shared" si="3"/>
        <v>1.1451649164143696</v>
      </c>
    </row>
    <row r="62" spans="1:8" x14ac:dyDescent="0.25">
      <c r="A62">
        <v>23.806260000000002</v>
      </c>
      <c r="B62">
        <v>21.938431123022632</v>
      </c>
      <c r="C62">
        <f t="shared" si="0"/>
        <v>1.8678288769773701</v>
      </c>
      <c r="D62">
        <f t="shared" si="4"/>
        <v>2.6796520555664878</v>
      </c>
      <c r="E62">
        <f t="shared" si="1"/>
        <v>24.618083178589121</v>
      </c>
      <c r="F62">
        <f t="shared" si="2"/>
        <v>-0.81182317858911901</v>
      </c>
      <c r="H62">
        <f t="shared" si="3"/>
        <v>0.81182317858911901</v>
      </c>
    </row>
    <row r="63" spans="1:8" x14ac:dyDescent="0.25">
      <c r="A63">
        <v>25.274999999999999</v>
      </c>
      <c r="B63">
        <v>21.853000787034425</v>
      </c>
      <c r="C63">
        <f t="shared" si="0"/>
        <v>3.4219992129655736</v>
      </c>
      <c r="D63">
        <f t="shared" si="4"/>
        <v>0.84948573171784203</v>
      </c>
      <c r="E63">
        <f t="shared" si="1"/>
        <v>22.702486518752266</v>
      </c>
      <c r="F63">
        <f t="shared" si="2"/>
        <v>2.5725134812477322</v>
      </c>
      <c r="H63">
        <f t="shared" si="3"/>
        <v>2.5725134812477322</v>
      </c>
    </row>
    <row r="64" spans="1:8" x14ac:dyDescent="0.25">
      <c r="A64">
        <v>25.212499999999999</v>
      </c>
      <c r="B64">
        <v>21.76597299746906</v>
      </c>
      <c r="C64">
        <f t="shared" si="0"/>
        <v>3.4465270025309387</v>
      </c>
      <c r="D64">
        <f t="shared" si="4"/>
        <v>2.9339902401560702</v>
      </c>
      <c r="E64">
        <f t="shared" si="1"/>
        <v>24.699963237625131</v>
      </c>
      <c r="F64">
        <f t="shared" si="2"/>
        <v>0.512536762374868</v>
      </c>
      <c r="H64">
        <f t="shared" si="3"/>
        <v>0.512536762374868</v>
      </c>
    </row>
    <row r="65" spans="1:8" x14ac:dyDescent="0.25">
      <c r="A65">
        <v>24.362500000000001</v>
      </c>
      <c r="B65">
        <v>21.677373542538803</v>
      </c>
      <c r="C65">
        <f t="shared" si="0"/>
        <v>2.6851264574611982</v>
      </c>
      <c r="D65">
        <f t="shared" si="4"/>
        <v>2.0932844116710267</v>
      </c>
      <c r="E65">
        <f t="shared" si="1"/>
        <v>23.770657954209831</v>
      </c>
      <c r="F65">
        <f t="shared" si="2"/>
        <v>0.59184204579016964</v>
      </c>
      <c r="H65">
        <f t="shared" si="3"/>
        <v>0.59184204579016964</v>
      </c>
    </row>
    <row r="66" spans="1:8" x14ac:dyDescent="0.25">
      <c r="A66">
        <v>23.725000000000001</v>
      </c>
      <c r="B66">
        <v>21.587228676174284</v>
      </c>
      <c r="C66">
        <f t="shared" si="0"/>
        <v>2.1377713238257172</v>
      </c>
      <c r="D66">
        <f t="shared" si="4"/>
        <v>1.6678809341892487</v>
      </c>
      <c r="E66">
        <f t="shared" si="1"/>
        <v>23.255109610363533</v>
      </c>
      <c r="F66">
        <f t="shared" si="2"/>
        <v>0.46989038963646834</v>
      </c>
      <c r="H66">
        <f t="shared" si="3"/>
        <v>0.46989038963646834</v>
      </c>
    </row>
    <row r="67" spans="1:8" x14ac:dyDescent="0.25">
      <c r="A67">
        <v>22.28125</v>
      </c>
      <c r="B67">
        <v>21.49556511024489</v>
      </c>
      <c r="C67">
        <f t="shared" ref="C67:C130" si="5">A67-B67</f>
        <v>0.78568488975511031</v>
      </c>
      <c r="D67">
        <f t="shared" si="4"/>
        <v>1.4522547429128161</v>
      </c>
      <c r="E67">
        <f t="shared" si="1"/>
        <v>22.947819853157707</v>
      </c>
      <c r="F67">
        <f t="shared" si="2"/>
        <v>-0.66656985315770712</v>
      </c>
      <c r="H67">
        <f t="shared" si="3"/>
        <v>0.66656985315770712</v>
      </c>
    </row>
    <row r="68" spans="1:8" x14ac:dyDescent="0.25">
      <c r="A68">
        <v>22.993749999999999</v>
      </c>
      <c r="B68">
        <v>21.402410006643464</v>
      </c>
      <c r="C68">
        <f t="shared" si="5"/>
        <v>1.5913399933565344</v>
      </c>
      <c r="D68">
        <f t="shared" si="4"/>
        <v>0.37187453955084998</v>
      </c>
      <c r="E68">
        <f t="shared" ref="E68:E131" si="6">B68+D68</f>
        <v>21.774284546194313</v>
      </c>
      <c r="F68">
        <f t="shared" ref="F68:F131" si="7">A68-E68</f>
        <v>1.2194654538056859</v>
      </c>
      <c r="H68">
        <f t="shared" ref="H68:H131" si="8">ABS(F68)</f>
        <v>1.2194654538056859</v>
      </c>
    </row>
    <row r="69" spans="1:8" x14ac:dyDescent="0.25">
      <c r="A69">
        <v>20.131250000000001</v>
      </c>
      <c r="B69">
        <v>21.307790969237665</v>
      </c>
      <c r="C69">
        <f t="shared" si="5"/>
        <v>-1.1765409692376636</v>
      </c>
      <c r="D69">
        <f t="shared" si="4"/>
        <v>1.4075876846421156</v>
      </c>
      <c r="E69">
        <f t="shared" si="6"/>
        <v>22.715378653879782</v>
      </c>
      <c r="F69">
        <f t="shared" si="7"/>
        <v>-2.5841286538797803</v>
      </c>
      <c r="H69">
        <f t="shared" si="8"/>
        <v>2.5841286538797803</v>
      </c>
    </row>
    <row r="70" spans="1:8" x14ac:dyDescent="0.25">
      <c r="A70">
        <v>21.143750000000001</v>
      </c>
      <c r="B70">
        <v>21.211736035690311</v>
      </c>
      <c r="C70">
        <f t="shared" si="5"/>
        <v>-6.7986035690310587E-2</v>
      </c>
      <c r="D70">
        <f t="shared" ref="D70:D133" si="9">$J$1*C69+$J$2*C68+$J$3*C67</f>
        <v>-1.3916137580328249</v>
      </c>
      <c r="E70">
        <f t="shared" si="6"/>
        <v>19.820122277657486</v>
      </c>
      <c r="F70">
        <f t="shared" si="7"/>
        <v>1.3236277223425148</v>
      </c>
      <c r="H70">
        <f t="shared" si="8"/>
        <v>1.3236277223425148</v>
      </c>
    </row>
    <row r="71" spans="1:8" x14ac:dyDescent="0.25">
      <c r="A71">
        <v>22.53125</v>
      </c>
      <c r="B71">
        <v>21.114273669151256</v>
      </c>
      <c r="C71">
        <f t="shared" si="5"/>
        <v>1.416976330848744</v>
      </c>
      <c r="D71">
        <f t="shared" si="9"/>
        <v>0.55225448404849142</v>
      </c>
      <c r="E71">
        <f t="shared" si="6"/>
        <v>21.666528153199746</v>
      </c>
      <c r="F71">
        <f t="shared" si="7"/>
        <v>0.86472184680025421</v>
      </c>
      <c r="H71">
        <f t="shared" si="8"/>
        <v>0.86472184680025421</v>
      </c>
    </row>
    <row r="72" spans="1:8" x14ac:dyDescent="0.25">
      <c r="A72">
        <v>23.256250000000001</v>
      </c>
      <c r="B72">
        <v>21.015432749823113</v>
      </c>
      <c r="C72">
        <f t="shared" si="5"/>
        <v>2.2408172501768888</v>
      </c>
      <c r="D72">
        <f t="shared" si="9"/>
        <v>1.0495226477368065</v>
      </c>
      <c r="E72">
        <f t="shared" si="6"/>
        <v>22.06495539755992</v>
      </c>
      <c r="F72">
        <f t="shared" si="7"/>
        <v>1.191294602440081</v>
      </c>
      <c r="H72">
        <f t="shared" si="8"/>
        <v>1.191294602440081</v>
      </c>
    </row>
    <row r="73" spans="1:8" x14ac:dyDescent="0.25">
      <c r="A73">
        <v>22.8125</v>
      </c>
      <c r="B73">
        <v>20.915242566403435</v>
      </c>
      <c r="C73">
        <f t="shared" si="5"/>
        <v>1.8972574335965646</v>
      </c>
      <c r="D73">
        <f t="shared" si="9"/>
        <v>1.4327188148822076</v>
      </c>
      <c r="E73">
        <f t="shared" si="6"/>
        <v>22.347961381285643</v>
      </c>
      <c r="F73">
        <f t="shared" si="7"/>
        <v>0.4645386187143572</v>
      </c>
      <c r="H73">
        <f t="shared" si="8"/>
        <v>0.4645386187143572</v>
      </c>
    </row>
    <row r="74" spans="1:8" x14ac:dyDescent="0.25">
      <c r="A74">
        <v>24.7</v>
      </c>
      <c r="B74">
        <v>20.813732807405863</v>
      </c>
      <c r="C74">
        <f t="shared" si="5"/>
        <v>3.8862671925941363</v>
      </c>
      <c r="D74">
        <f t="shared" si="9"/>
        <v>1.0946082930881249</v>
      </c>
      <c r="E74">
        <f t="shared" si="6"/>
        <v>21.908341100493988</v>
      </c>
      <c r="F74">
        <f t="shared" si="7"/>
        <v>2.791658899506011</v>
      </c>
      <c r="H74">
        <f t="shared" si="8"/>
        <v>2.791658899506011</v>
      </c>
    </row>
    <row r="75" spans="1:8" x14ac:dyDescent="0.25">
      <c r="A75">
        <v>22.081250000000001</v>
      </c>
      <c r="B75">
        <v>20.710933552362736</v>
      </c>
      <c r="C75">
        <f t="shared" si="5"/>
        <v>1.3703164476372649</v>
      </c>
      <c r="D75">
        <f t="shared" si="9"/>
        <v>3.0090467465466206</v>
      </c>
      <c r="E75">
        <f t="shared" si="6"/>
        <v>23.719980298909356</v>
      </c>
      <c r="F75">
        <f t="shared" si="7"/>
        <v>-1.6387302989093548</v>
      </c>
      <c r="H75">
        <f t="shared" si="8"/>
        <v>1.6387302989093548</v>
      </c>
    </row>
    <row r="76" spans="1:8" x14ac:dyDescent="0.25">
      <c r="A76">
        <v>20.118749999999999</v>
      </c>
      <c r="B76">
        <v>20.60687526291192</v>
      </c>
      <c r="C76">
        <f t="shared" si="5"/>
        <v>-0.48812526291192171</v>
      </c>
      <c r="D76">
        <f t="shared" si="9"/>
        <v>0.19097332695322711</v>
      </c>
      <c r="E76">
        <f t="shared" si="6"/>
        <v>20.797848589865147</v>
      </c>
      <c r="F76">
        <f t="shared" si="7"/>
        <v>-0.67909858986514848</v>
      </c>
      <c r="H76">
        <f t="shared" si="8"/>
        <v>0.67909858986514848</v>
      </c>
    </row>
    <row r="77" spans="1:8" x14ac:dyDescent="0.25">
      <c r="A77">
        <v>21.675000000000001</v>
      </c>
      <c r="B77">
        <v>20.501588773770333</v>
      </c>
      <c r="C77">
        <f t="shared" si="5"/>
        <v>1.1734112262296676</v>
      </c>
      <c r="D77">
        <f t="shared" si="9"/>
        <v>-0.28492369550050034</v>
      </c>
      <c r="E77">
        <f t="shared" si="6"/>
        <v>20.216665078269834</v>
      </c>
      <c r="F77">
        <f t="shared" si="7"/>
        <v>1.4583349217301667</v>
      </c>
      <c r="H77">
        <f t="shared" si="8"/>
        <v>1.4583349217301667</v>
      </c>
    </row>
    <row r="78" spans="1:8" x14ac:dyDescent="0.25">
      <c r="A78">
        <v>24.787500000000001</v>
      </c>
      <c r="B78">
        <v>20.395105283596987</v>
      </c>
      <c r="C78">
        <f t="shared" si="5"/>
        <v>4.3923947164030146</v>
      </c>
      <c r="D78">
        <f t="shared" si="9"/>
        <v>1.3501549489416944</v>
      </c>
      <c r="E78">
        <f t="shared" si="6"/>
        <v>21.74526023253868</v>
      </c>
      <c r="F78">
        <f t="shared" si="7"/>
        <v>3.0422397674613215</v>
      </c>
      <c r="H78">
        <f t="shared" si="8"/>
        <v>3.0422397674613215</v>
      </c>
    </row>
    <row r="79" spans="1:8" x14ac:dyDescent="0.25">
      <c r="A79">
        <v>23.581250000000001</v>
      </c>
      <c r="B79">
        <v>20.287456345748115</v>
      </c>
      <c r="C79">
        <f t="shared" si="5"/>
        <v>3.2937936542518855</v>
      </c>
      <c r="D79">
        <f t="shared" si="9"/>
        <v>3.2709732857435059</v>
      </c>
      <c r="E79">
        <f t="shared" si="6"/>
        <v>23.55842963149162</v>
      </c>
      <c r="F79">
        <f t="shared" si="7"/>
        <v>2.282036850838054E-2</v>
      </c>
      <c r="H79">
        <f t="shared" si="8"/>
        <v>2.282036850838054E-2</v>
      </c>
    </row>
    <row r="80" spans="1:8" x14ac:dyDescent="0.25">
      <c r="A80">
        <v>22.006250000000001</v>
      </c>
      <c r="B80">
        <v>20.178673858927258</v>
      </c>
      <c r="C80">
        <f t="shared" si="5"/>
        <v>1.8275761410727434</v>
      </c>
      <c r="D80">
        <f t="shared" si="9"/>
        <v>1.5513201022913541</v>
      </c>
      <c r="E80">
        <f t="shared" si="6"/>
        <v>21.729993961218611</v>
      </c>
      <c r="F80">
        <f t="shared" si="7"/>
        <v>0.2762560387813906</v>
      </c>
      <c r="H80">
        <f t="shared" si="8"/>
        <v>0.2762560387813906</v>
      </c>
    </row>
    <row r="81" spans="1:8" x14ac:dyDescent="0.25">
      <c r="A81">
        <v>20.65</v>
      </c>
      <c r="B81">
        <v>20.068790057732983</v>
      </c>
      <c r="C81">
        <f t="shared" si="5"/>
        <v>0.58120994226701583</v>
      </c>
      <c r="D81">
        <f t="shared" si="9"/>
        <v>1.1326352041800853</v>
      </c>
      <c r="E81">
        <f t="shared" si="6"/>
        <v>21.201425261913069</v>
      </c>
      <c r="F81">
        <f t="shared" si="7"/>
        <v>-0.55142526191307084</v>
      </c>
      <c r="H81">
        <f t="shared" si="8"/>
        <v>0.55142526191307084</v>
      </c>
    </row>
    <row r="82" spans="1:8" x14ac:dyDescent="0.25">
      <c r="A82">
        <v>23.456250000000001</v>
      </c>
      <c r="B82">
        <v>19.957837503107061</v>
      </c>
      <c r="C82">
        <f t="shared" si="5"/>
        <v>3.4984124968929393</v>
      </c>
      <c r="D82">
        <f t="shared" si="9"/>
        <v>0.38717192156742736</v>
      </c>
      <c r="E82">
        <f t="shared" si="6"/>
        <v>20.34500942467449</v>
      </c>
      <c r="F82">
        <f t="shared" si="7"/>
        <v>3.1112405753255103</v>
      </c>
      <c r="H82">
        <f t="shared" si="8"/>
        <v>3.1112405753255103</v>
      </c>
    </row>
    <row r="83" spans="1:8" x14ac:dyDescent="0.25">
      <c r="A83">
        <v>23.293749999999999</v>
      </c>
      <c r="B83">
        <v>19.84584907268599</v>
      </c>
      <c r="C83">
        <f t="shared" si="5"/>
        <v>3.4479009273140093</v>
      </c>
      <c r="D83">
        <f t="shared" si="9"/>
        <v>3.0423708655952582</v>
      </c>
      <c r="E83">
        <f t="shared" si="6"/>
        <v>22.888219938281249</v>
      </c>
      <c r="F83">
        <f t="shared" si="7"/>
        <v>0.40553006171874983</v>
      </c>
      <c r="H83">
        <f t="shared" si="8"/>
        <v>0.40553006171874983</v>
      </c>
    </row>
    <row r="84" spans="1:8" x14ac:dyDescent="0.25">
      <c r="A84">
        <v>22.943750000000001</v>
      </c>
      <c r="B84">
        <v>19.732857951058605</v>
      </c>
      <c r="C84">
        <f t="shared" si="5"/>
        <v>3.2108920489413961</v>
      </c>
      <c r="D84">
        <f t="shared" si="9"/>
        <v>1.8819668098756859</v>
      </c>
      <c r="E84">
        <f t="shared" si="6"/>
        <v>21.61482476093429</v>
      </c>
      <c r="F84">
        <f t="shared" si="7"/>
        <v>1.3289252390657111</v>
      </c>
      <c r="H84">
        <f t="shared" si="8"/>
        <v>1.3289252390657111</v>
      </c>
    </row>
    <row r="85" spans="1:8" x14ac:dyDescent="0.25">
      <c r="A85">
        <v>25.943750000000001</v>
      </c>
      <c r="B85">
        <v>19.618897619932795</v>
      </c>
      <c r="C85">
        <f t="shared" si="5"/>
        <v>6.3248523800672061</v>
      </c>
      <c r="D85">
        <f t="shared" si="9"/>
        <v>2.1237174470402418</v>
      </c>
      <c r="E85">
        <f t="shared" si="6"/>
        <v>21.742615066973038</v>
      </c>
      <c r="F85">
        <f t="shared" si="7"/>
        <v>4.2011349330269638</v>
      </c>
      <c r="H85">
        <f t="shared" si="8"/>
        <v>4.2011349330269638</v>
      </c>
    </row>
    <row r="86" spans="1:8" x14ac:dyDescent="0.25">
      <c r="A86">
        <v>18.981249999999999</v>
      </c>
      <c r="B86">
        <v>19.504001848214141</v>
      </c>
      <c r="C86">
        <f t="shared" si="5"/>
        <v>-0.522751848214142</v>
      </c>
      <c r="D86">
        <f t="shared" si="9"/>
        <v>4.8286252703499679</v>
      </c>
      <c r="E86">
        <f t="shared" si="6"/>
        <v>24.332627118564108</v>
      </c>
      <c r="F86">
        <f t="shared" si="7"/>
        <v>-5.351377118564109</v>
      </c>
      <c r="H86">
        <f t="shared" si="8"/>
        <v>5.351377118564109</v>
      </c>
    </row>
    <row r="87" spans="1:8" x14ac:dyDescent="0.25">
      <c r="A87">
        <v>16.193750000000001</v>
      </c>
      <c r="B87">
        <v>19.388204681999454</v>
      </c>
      <c r="C87">
        <f t="shared" si="5"/>
        <v>-3.1944546819994528</v>
      </c>
      <c r="D87">
        <f t="shared" si="9"/>
        <v>-2.0018305446353075</v>
      </c>
      <c r="E87">
        <f t="shared" si="6"/>
        <v>17.386374137364147</v>
      </c>
      <c r="F87">
        <f t="shared" si="7"/>
        <v>-1.1926241373641453</v>
      </c>
      <c r="H87">
        <f t="shared" si="8"/>
        <v>1.1926241373641453</v>
      </c>
    </row>
    <row r="88" spans="1:8" x14ac:dyDescent="0.25">
      <c r="A88">
        <v>20.862500000000001</v>
      </c>
      <c r="B88">
        <v>19.271540434488191</v>
      </c>
      <c r="C88">
        <f t="shared" si="5"/>
        <v>1.5909595655118096</v>
      </c>
      <c r="D88">
        <f t="shared" si="9"/>
        <v>-1.6127178833306428</v>
      </c>
      <c r="E88">
        <f t="shared" si="6"/>
        <v>17.658822551157549</v>
      </c>
      <c r="F88">
        <f t="shared" si="7"/>
        <v>3.203677448842452</v>
      </c>
      <c r="H88">
        <f t="shared" si="8"/>
        <v>3.203677448842452</v>
      </c>
    </row>
    <row r="89" spans="1:8" x14ac:dyDescent="0.25">
      <c r="A89">
        <v>24.618749999999999</v>
      </c>
      <c r="B89">
        <v>19.154043675814709</v>
      </c>
      <c r="C89">
        <f t="shared" si="5"/>
        <v>5.4647063241852898</v>
      </c>
      <c r="D89">
        <f t="shared" si="9"/>
        <v>2.2949939396554364</v>
      </c>
      <c r="E89">
        <f t="shared" si="6"/>
        <v>21.449037615470147</v>
      </c>
      <c r="F89">
        <f t="shared" si="7"/>
        <v>3.169712384529852</v>
      </c>
      <c r="H89">
        <f t="shared" si="8"/>
        <v>3.169712384529852</v>
      </c>
    </row>
    <row r="90" spans="1:8" x14ac:dyDescent="0.25">
      <c r="A90">
        <v>25.4</v>
      </c>
      <c r="B90">
        <v>19.035749222804391</v>
      </c>
      <c r="C90">
        <f t="shared" si="5"/>
        <v>6.3642507771956076</v>
      </c>
      <c r="D90">
        <f t="shared" si="9"/>
        <v>3.6494898123555091</v>
      </c>
      <c r="E90">
        <f t="shared" si="6"/>
        <v>22.685239035159899</v>
      </c>
      <c r="F90">
        <f t="shared" si="7"/>
        <v>2.7147609648400994</v>
      </c>
      <c r="H90">
        <f t="shared" si="8"/>
        <v>2.7147609648400994</v>
      </c>
    </row>
    <row r="91" spans="1:8" x14ac:dyDescent="0.25">
      <c r="A91">
        <v>18.524999999999999</v>
      </c>
      <c r="B91">
        <v>18.91669212865667</v>
      </c>
      <c r="C91">
        <f t="shared" si="5"/>
        <v>-0.39169212865667191</v>
      </c>
      <c r="D91">
        <f t="shared" si="9"/>
        <v>3.8678825823288538</v>
      </c>
      <c r="E91">
        <f t="shared" si="6"/>
        <v>22.784574710985524</v>
      </c>
      <c r="F91">
        <f t="shared" si="7"/>
        <v>-4.2595747109855253</v>
      </c>
      <c r="H91">
        <f t="shared" si="8"/>
        <v>4.2595747109855253</v>
      </c>
    </row>
    <row r="92" spans="1:8" x14ac:dyDescent="0.25">
      <c r="A92">
        <v>22.59375</v>
      </c>
      <c r="B92">
        <v>18.796907672558003</v>
      </c>
      <c r="C92">
        <f t="shared" si="5"/>
        <v>3.7968423274419969</v>
      </c>
      <c r="D92">
        <f t="shared" si="9"/>
        <v>-1.5742281864038992</v>
      </c>
      <c r="E92">
        <f t="shared" si="6"/>
        <v>17.222679486154103</v>
      </c>
      <c r="F92">
        <f t="shared" si="7"/>
        <v>5.371070513845897</v>
      </c>
      <c r="H92">
        <f t="shared" si="8"/>
        <v>5.371070513845897</v>
      </c>
    </row>
    <row r="93" spans="1:8" x14ac:dyDescent="0.25">
      <c r="A93">
        <v>21.368749999999999</v>
      </c>
      <c r="B93">
        <v>18.676431349227894</v>
      </c>
      <c r="C93">
        <f t="shared" si="5"/>
        <v>2.6923186507721049</v>
      </c>
      <c r="D93">
        <f t="shared" si="9"/>
        <v>4.2698394186208679</v>
      </c>
      <c r="E93">
        <f t="shared" si="6"/>
        <v>22.946270767848763</v>
      </c>
      <c r="F93">
        <f t="shared" si="7"/>
        <v>-1.5775207678487639</v>
      </c>
      <c r="H93">
        <f t="shared" si="8"/>
        <v>1.5775207678487639</v>
      </c>
    </row>
    <row r="94" spans="1:8" x14ac:dyDescent="0.25">
      <c r="A94">
        <v>20.387499999999999</v>
      </c>
      <c r="B94">
        <v>18.555298858401034</v>
      </c>
      <c r="C94">
        <f t="shared" si="5"/>
        <v>1.832201141598965</v>
      </c>
      <c r="D94">
        <f t="shared" si="9"/>
        <v>1.004443415336276</v>
      </c>
      <c r="E94">
        <f t="shared" si="6"/>
        <v>19.55974227373731</v>
      </c>
      <c r="F94">
        <f t="shared" si="7"/>
        <v>0.82775772626268918</v>
      </c>
      <c r="H94">
        <f t="shared" si="8"/>
        <v>0.82775772626268918</v>
      </c>
    </row>
    <row r="95" spans="1:8" x14ac:dyDescent="0.25">
      <c r="A95">
        <v>20.956250000000001</v>
      </c>
      <c r="B95">
        <v>18.433546094248712</v>
      </c>
      <c r="C95">
        <f t="shared" si="5"/>
        <v>2.522703905751289</v>
      </c>
      <c r="D95">
        <f t="shared" si="9"/>
        <v>1.2424335592143456</v>
      </c>
      <c r="E95">
        <f t="shared" si="6"/>
        <v>19.675979653463056</v>
      </c>
      <c r="F95">
        <f t="shared" si="7"/>
        <v>1.2802703465369447</v>
      </c>
      <c r="H95">
        <f t="shared" si="8"/>
        <v>1.2802703465369447</v>
      </c>
    </row>
    <row r="96" spans="1:8" x14ac:dyDescent="0.25">
      <c r="A96">
        <v>21.537500000000001</v>
      </c>
      <c r="B96">
        <v>18.31120913474258</v>
      </c>
      <c r="C96">
        <f t="shared" si="5"/>
        <v>3.2262908652574218</v>
      </c>
      <c r="D96">
        <f t="shared" si="9"/>
        <v>1.9414819753760577</v>
      </c>
      <c r="E96">
        <f t="shared" si="6"/>
        <v>20.252691110118636</v>
      </c>
      <c r="F96">
        <f t="shared" si="7"/>
        <v>1.284808889881365</v>
      </c>
      <c r="H96">
        <f t="shared" si="8"/>
        <v>1.284808889881365</v>
      </c>
    </row>
    <row r="97" spans="1:8" x14ac:dyDescent="0.25">
      <c r="A97">
        <v>18.100000000000001</v>
      </c>
      <c r="B97">
        <v>18.188324230963996</v>
      </c>
      <c r="C97">
        <f t="shared" si="5"/>
        <v>-8.8324230963994665E-2</v>
      </c>
      <c r="D97">
        <f t="shared" si="9"/>
        <v>2.1900312907401038</v>
      </c>
      <c r="E97">
        <f t="shared" si="6"/>
        <v>20.378355521704101</v>
      </c>
      <c r="F97">
        <f t="shared" si="7"/>
        <v>-2.2783555217040998</v>
      </c>
      <c r="H97">
        <f t="shared" si="8"/>
        <v>2.2783555217040998</v>
      </c>
    </row>
    <row r="98" spans="1:8" x14ac:dyDescent="0.25">
      <c r="A98">
        <v>20.3</v>
      </c>
      <c r="B98">
        <v>18.064927796362017</v>
      </c>
      <c r="C98">
        <f t="shared" si="5"/>
        <v>2.2350722036379835</v>
      </c>
      <c r="D98">
        <f t="shared" si="9"/>
        <v>-0.74087973379190963</v>
      </c>
      <c r="E98">
        <f t="shared" si="6"/>
        <v>17.324048062570107</v>
      </c>
      <c r="F98">
        <f t="shared" si="7"/>
        <v>2.9759519374298939</v>
      </c>
      <c r="H98">
        <f t="shared" si="8"/>
        <v>2.9759519374298939</v>
      </c>
    </row>
    <row r="99" spans="1:8" x14ac:dyDescent="0.25">
      <c r="A99">
        <v>22.2</v>
      </c>
      <c r="B99">
        <v>17.941056395963333</v>
      </c>
      <c r="C99">
        <f t="shared" si="5"/>
        <v>4.2589436040366664</v>
      </c>
      <c r="D99">
        <f t="shared" si="9"/>
        <v>2.3918988038841791</v>
      </c>
      <c r="E99">
        <f t="shared" si="6"/>
        <v>20.332955199847511</v>
      </c>
      <c r="F99">
        <f t="shared" si="7"/>
        <v>1.8670448001524882</v>
      </c>
      <c r="H99">
        <f t="shared" si="8"/>
        <v>1.8670448001524882</v>
      </c>
    </row>
    <row r="100" spans="1:8" x14ac:dyDescent="0.25">
      <c r="A100">
        <v>23.556249999999999</v>
      </c>
      <c r="B100">
        <v>17.81674673553724</v>
      </c>
      <c r="C100">
        <f t="shared" si="5"/>
        <v>5.7395032644627584</v>
      </c>
      <c r="D100">
        <f t="shared" si="9"/>
        <v>2.8759298293269007</v>
      </c>
      <c r="E100">
        <f t="shared" si="6"/>
        <v>20.69267656486414</v>
      </c>
      <c r="F100">
        <f t="shared" si="7"/>
        <v>2.8635734351358586</v>
      </c>
      <c r="H100">
        <f t="shared" si="8"/>
        <v>2.8635734351358586</v>
      </c>
    </row>
    <row r="101" spans="1:8" x14ac:dyDescent="0.25">
      <c r="A101">
        <v>23.7</v>
      </c>
      <c r="B101">
        <v>17.69203565071895</v>
      </c>
      <c r="C101">
        <f t="shared" si="5"/>
        <v>6.0079643492810497</v>
      </c>
      <c r="D101">
        <f t="shared" si="9"/>
        <v>3.8197642988311213</v>
      </c>
      <c r="E101">
        <f t="shared" si="6"/>
        <v>21.51179994955007</v>
      </c>
      <c r="F101">
        <f t="shared" si="7"/>
        <v>2.1882000504499288</v>
      </c>
      <c r="H101">
        <f t="shared" si="8"/>
        <v>2.1882000504499288</v>
      </c>
    </row>
    <row r="102" spans="1:8" x14ac:dyDescent="0.25">
      <c r="A102">
        <v>23.112500000000001</v>
      </c>
      <c r="B102">
        <v>17.56696009609438</v>
      </c>
      <c r="C102">
        <f t="shared" si="5"/>
        <v>5.5455399039056203</v>
      </c>
      <c r="D102">
        <f t="shared" si="9"/>
        <v>3.8679155817378867</v>
      </c>
      <c r="E102">
        <f t="shared" si="6"/>
        <v>21.434875677832267</v>
      </c>
      <c r="F102">
        <f t="shared" si="7"/>
        <v>1.6776243221677341</v>
      </c>
      <c r="H102">
        <f t="shared" si="8"/>
        <v>1.6776243221677341</v>
      </c>
    </row>
    <row r="103" spans="1:8" x14ac:dyDescent="0.25">
      <c r="A103">
        <v>23.131250000000001</v>
      </c>
      <c r="B103">
        <v>17.441557134249713</v>
      </c>
      <c r="C103">
        <f t="shared" si="5"/>
        <v>5.6896928657502883</v>
      </c>
      <c r="D103">
        <f t="shared" si="9"/>
        <v>3.6066413427700748</v>
      </c>
      <c r="E103">
        <f t="shared" si="6"/>
        <v>21.048198477019788</v>
      </c>
      <c r="F103">
        <f t="shared" si="7"/>
        <v>2.0830515229802131</v>
      </c>
      <c r="H103">
        <f t="shared" si="8"/>
        <v>2.0830515229802131</v>
      </c>
    </row>
    <row r="104" spans="1:8" x14ac:dyDescent="0.25">
      <c r="A104">
        <v>21.487500000000001</v>
      </c>
      <c r="B104">
        <v>17.315863924788964</v>
      </c>
      <c r="C104">
        <f t="shared" si="5"/>
        <v>4.1716360752110369</v>
      </c>
      <c r="D104">
        <f t="shared" si="9"/>
        <v>3.9162029243916234</v>
      </c>
      <c r="E104">
        <f t="shared" si="6"/>
        <v>21.232066849180587</v>
      </c>
      <c r="F104">
        <f t="shared" si="7"/>
        <v>0.25543315081941387</v>
      </c>
      <c r="H104">
        <f t="shared" si="8"/>
        <v>0.25543315081941387</v>
      </c>
    </row>
    <row r="105" spans="1:8" x14ac:dyDescent="0.25">
      <c r="A105">
        <v>20.96875</v>
      </c>
      <c r="B105">
        <v>17.189917713322778</v>
      </c>
      <c r="C105">
        <f t="shared" si="5"/>
        <v>3.7788322866772219</v>
      </c>
      <c r="D105">
        <f t="shared" si="9"/>
        <v>2.5172259791881579</v>
      </c>
      <c r="E105">
        <f t="shared" si="6"/>
        <v>19.707143692510936</v>
      </c>
      <c r="F105">
        <f t="shared" si="7"/>
        <v>1.261606307489064</v>
      </c>
      <c r="H105">
        <f t="shared" si="8"/>
        <v>1.261606307489064</v>
      </c>
    </row>
    <row r="106" spans="1:8" x14ac:dyDescent="0.25">
      <c r="A106">
        <v>20.65</v>
      </c>
      <c r="B106">
        <v>17.063755820431751</v>
      </c>
      <c r="C106">
        <f t="shared" si="5"/>
        <v>3.5862441795682471</v>
      </c>
      <c r="D106">
        <f t="shared" si="9"/>
        <v>2.6925798522668738</v>
      </c>
      <c r="E106">
        <f t="shared" si="6"/>
        <v>19.756335672698626</v>
      </c>
      <c r="F106">
        <f t="shared" si="7"/>
        <v>0.89366432730137291</v>
      </c>
      <c r="H106">
        <f t="shared" si="8"/>
        <v>0.89366432730137291</v>
      </c>
    </row>
    <row r="107" spans="1:8" x14ac:dyDescent="0.25">
      <c r="A107">
        <v>19.9375</v>
      </c>
      <c r="B107">
        <v>16.93741563060755</v>
      </c>
      <c r="C107">
        <f t="shared" si="5"/>
        <v>3.0000843693924502</v>
      </c>
      <c r="D107">
        <f t="shared" si="9"/>
        <v>2.4337188386734256</v>
      </c>
      <c r="E107">
        <f t="shared" si="6"/>
        <v>19.371134469280975</v>
      </c>
      <c r="F107">
        <f t="shared" si="7"/>
        <v>0.5663655307190254</v>
      </c>
      <c r="H107">
        <f t="shared" si="8"/>
        <v>0.5663655307190254</v>
      </c>
    </row>
    <row r="108" spans="1:8" x14ac:dyDescent="0.25">
      <c r="A108">
        <v>15.4125</v>
      </c>
      <c r="B108">
        <v>16.810934581175054</v>
      </c>
      <c r="C108">
        <f t="shared" si="5"/>
        <v>-1.3984345811750547</v>
      </c>
      <c r="D108">
        <f t="shared" si="9"/>
        <v>1.941850315823654</v>
      </c>
      <c r="E108">
        <f t="shared" si="6"/>
        <v>18.752784896998708</v>
      </c>
      <c r="F108">
        <f t="shared" si="7"/>
        <v>-3.3402848969987087</v>
      </c>
      <c r="H108">
        <f t="shared" si="8"/>
        <v>3.3402848969987087</v>
      </c>
    </row>
    <row r="109" spans="1:8" x14ac:dyDescent="0.25">
      <c r="A109">
        <v>13.36875</v>
      </c>
      <c r="B109">
        <v>16.684350151198906</v>
      </c>
      <c r="C109">
        <f t="shared" si="5"/>
        <v>-3.3156001511989057</v>
      </c>
      <c r="D109">
        <f t="shared" si="9"/>
        <v>-1.6220914990520392</v>
      </c>
      <c r="E109">
        <f t="shared" si="6"/>
        <v>15.062258652146866</v>
      </c>
      <c r="F109">
        <f t="shared" si="7"/>
        <v>-1.6935086521468659</v>
      </c>
      <c r="H109">
        <f t="shared" si="8"/>
        <v>1.6935086521468659</v>
      </c>
    </row>
    <row r="110" spans="1:8" x14ac:dyDescent="0.25">
      <c r="A110">
        <v>14.3375</v>
      </c>
      <c r="B110">
        <v>16.557699850377617</v>
      </c>
      <c r="C110">
        <f t="shared" si="5"/>
        <v>-2.2201998503776164</v>
      </c>
      <c r="D110">
        <f t="shared" si="9"/>
        <v>-1.9201967914539171</v>
      </c>
      <c r="E110">
        <f t="shared" si="6"/>
        <v>14.6375030589237</v>
      </c>
      <c r="F110">
        <f t="shared" si="7"/>
        <v>-0.30000305892369994</v>
      </c>
      <c r="H110">
        <f t="shared" si="8"/>
        <v>0.30000305892369994</v>
      </c>
    </row>
    <row r="111" spans="1:8" x14ac:dyDescent="0.25">
      <c r="A111">
        <v>14.63125</v>
      </c>
      <c r="B111">
        <v>16.431021207928659</v>
      </c>
      <c r="C111">
        <f t="shared" si="5"/>
        <v>-1.799771207928659</v>
      </c>
      <c r="D111">
        <f t="shared" si="9"/>
        <v>-1.0206195171498764</v>
      </c>
      <c r="E111">
        <f t="shared" si="6"/>
        <v>15.410401690778782</v>
      </c>
      <c r="F111">
        <f t="shared" si="7"/>
        <v>-0.77915169077878232</v>
      </c>
      <c r="H111">
        <f t="shared" si="8"/>
        <v>0.77915169077878232</v>
      </c>
    </row>
    <row r="112" spans="1:8" x14ac:dyDescent="0.25">
      <c r="A112">
        <v>16.375</v>
      </c>
      <c r="B112">
        <v>16.304351761467736</v>
      </c>
      <c r="C112">
        <f t="shared" si="5"/>
        <v>7.0648238532264429E-2</v>
      </c>
      <c r="D112">
        <f t="shared" si="9"/>
        <v>-1.2960773947064612</v>
      </c>
      <c r="E112">
        <f t="shared" si="6"/>
        <v>15.008274366761274</v>
      </c>
      <c r="F112">
        <f t="shared" si="7"/>
        <v>1.3667256332387261</v>
      </c>
      <c r="H112">
        <f t="shared" si="8"/>
        <v>1.3667256332387261</v>
      </c>
    </row>
    <row r="113" spans="1:8" x14ac:dyDescent="0.25">
      <c r="A113">
        <v>15.643750000000001</v>
      </c>
      <c r="B113">
        <v>16.177729045885592</v>
      </c>
      <c r="C113">
        <f t="shared" si="5"/>
        <v>-0.53397904588559086</v>
      </c>
      <c r="D113">
        <f t="shared" si="9"/>
        <v>0.31262622698396614</v>
      </c>
      <c r="E113">
        <f t="shared" si="6"/>
        <v>16.490355272869557</v>
      </c>
      <c r="F113">
        <f t="shared" si="7"/>
        <v>-0.84660527286955656</v>
      </c>
      <c r="H113">
        <f t="shared" si="8"/>
        <v>0.84660527286955656</v>
      </c>
    </row>
    <row r="114" spans="1:8" x14ac:dyDescent="0.25">
      <c r="A114">
        <v>17.643750000000001</v>
      </c>
      <c r="B114">
        <v>16.051190582225587</v>
      </c>
      <c r="C114">
        <f t="shared" si="5"/>
        <v>1.5925594177744138</v>
      </c>
      <c r="D114">
        <f t="shared" si="9"/>
        <v>-0.73767012382241548</v>
      </c>
      <c r="E114">
        <f t="shared" si="6"/>
        <v>15.313520458403172</v>
      </c>
      <c r="F114">
        <f t="shared" si="7"/>
        <v>2.3302295415968288</v>
      </c>
      <c r="H114">
        <f t="shared" si="8"/>
        <v>2.3302295415968288</v>
      </c>
    </row>
    <row r="115" spans="1:8" x14ac:dyDescent="0.25">
      <c r="A115">
        <v>18.518750000000001</v>
      </c>
      <c r="B115">
        <v>15.924773866565436</v>
      </c>
      <c r="C115">
        <f t="shared" si="5"/>
        <v>2.5939761334345643</v>
      </c>
      <c r="D115">
        <f t="shared" si="9"/>
        <v>1.5298295907528916</v>
      </c>
      <c r="E115">
        <f t="shared" si="6"/>
        <v>17.454603457318328</v>
      </c>
      <c r="F115">
        <f t="shared" si="7"/>
        <v>1.064146542681673</v>
      </c>
      <c r="H115">
        <f t="shared" si="8"/>
        <v>1.064146542681673</v>
      </c>
    </row>
    <row r="116" spans="1:8" x14ac:dyDescent="0.25">
      <c r="A116">
        <v>19.018750000000001</v>
      </c>
      <c r="B116">
        <v>15.798516358906278</v>
      </c>
      <c r="C116">
        <f t="shared" si="5"/>
        <v>3.2202336410937225</v>
      </c>
      <c r="D116">
        <f t="shared" si="9"/>
        <v>1.607312050681563</v>
      </c>
      <c r="E116">
        <f t="shared" si="6"/>
        <v>17.405828409587841</v>
      </c>
      <c r="F116">
        <f t="shared" si="7"/>
        <v>1.6129215904121601</v>
      </c>
      <c r="H116">
        <f t="shared" si="8"/>
        <v>1.6129215904121601</v>
      </c>
    </row>
    <row r="117" spans="1:8" x14ac:dyDescent="0.25">
      <c r="A117">
        <v>14.775</v>
      </c>
      <c r="B117">
        <v>15.672455472072498</v>
      </c>
      <c r="C117">
        <f t="shared" si="5"/>
        <v>-0.89745547207249743</v>
      </c>
      <c r="D117">
        <f t="shared" si="9"/>
        <v>2.1270345854943229</v>
      </c>
      <c r="E117">
        <f t="shared" si="6"/>
        <v>17.799490057566821</v>
      </c>
      <c r="F117">
        <f t="shared" si="7"/>
        <v>-3.0244900575668208</v>
      </c>
      <c r="H117">
        <f t="shared" si="8"/>
        <v>3.0244900575668208</v>
      </c>
    </row>
    <row r="118" spans="1:8" x14ac:dyDescent="0.25">
      <c r="A118">
        <v>15.975</v>
      </c>
      <c r="B118">
        <v>15.546628560625477</v>
      </c>
      <c r="C118">
        <f t="shared" si="5"/>
        <v>0.42837143937452282</v>
      </c>
      <c r="D118">
        <f t="shared" si="9"/>
        <v>-1.4135348182605432</v>
      </c>
      <c r="E118">
        <f t="shared" si="6"/>
        <v>14.133093742364935</v>
      </c>
      <c r="F118">
        <f t="shared" si="7"/>
        <v>1.8419062576350651</v>
      </c>
      <c r="H118">
        <f t="shared" si="8"/>
        <v>1.8419062576350651</v>
      </c>
    </row>
    <row r="119" spans="1:8" x14ac:dyDescent="0.25">
      <c r="A119">
        <v>13.606249999999999</v>
      </c>
      <c r="B119">
        <v>15.421072909794649</v>
      </c>
      <c r="C119">
        <f t="shared" si="5"/>
        <v>-1.8148229097946498</v>
      </c>
      <c r="D119">
        <f t="shared" si="9"/>
        <v>1.1209493654319138</v>
      </c>
      <c r="E119">
        <f t="shared" si="6"/>
        <v>16.542022275226564</v>
      </c>
      <c r="F119">
        <f t="shared" si="7"/>
        <v>-2.9357722752265651</v>
      </c>
      <c r="H119">
        <f t="shared" si="8"/>
        <v>2.9357722752265651</v>
      </c>
    </row>
    <row r="120" spans="1:8" x14ac:dyDescent="0.25">
      <c r="A120">
        <v>13.643750000000001</v>
      </c>
      <c r="B120">
        <v>15.295825724429065</v>
      </c>
      <c r="C120">
        <f t="shared" si="5"/>
        <v>-1.6520757244290643</v>
      </c>
      <c r="D120">
        <f t="shared" si="9"/>
        <v>-1.8049260405093519</v>
      </c>
      <c r="E120">
        <f t="shared" si="6"/>
        <v>13.490899683919713</v>
      </c>
      <c r="F120">
        <f t="shared" si="7"/>
        <v>0.1528503160802881</v>
      </c>
      <c r="H120">
        <f t="shared" si="8"/>
        <v>0.1528503160802881</v>
      </c>
    </row>
    <row r="121" spans="1:8" x14ac:dyDescent="0.25">
      <c r="A121">
        <v>12.65625</v>
      </c>
      <c r="B121">
        <v>15.170924117972802</v>
      </c>
      <c r="C121">
        <f t="shared" si="5"/>
        <v>-2.5146741179728025</v>
      </c>
      <c r="D121">
        <f t="shared" si="9"/>
        <v>-0.75404853383788373</v>
      </c>
      <c r="E121">
        <f t="shared" si="6"/>
        <v>14.416875584134919</v>
      </c>
      <c r="F121">
        <f t="shared" si="7"/>
        <v>-1.7606255841349192</v>
      </c>
      <c r="H121">
        <f t="shared" si="8"/>
        <v>1.7606255841349192</v>
      </c>
    </row>
    <row r="122" spans="1:8" x14ac:dyDescent="0.25">
      <c r="A122">
        <v>12.512499999999999</v>
      </c>
      <c r="B122">
        <v>15.046405101467453</v>
      </c>
      <c r="C122">
        <f t="shared" si="5"/>
        <v>-2.5339051014674538</v>
      </c>
      <c r="D122">
        <f t="shared" si="9"/>
        <v>-1.864248050572372</v>
      </c>
      <c r="E122">
        <f t="shared" si="6"/>
        <v>13.182157050895082</v>
      </c>
      <c r="F122">
        <f t="shared" si="7"/>
        <v>-0.66965705089508276</v>
      </c>
      <c r="H122">
        <f t="shared" si="8"/>
        <v>0.66965705089508276</v>
      </c>
    </row>
    <row r="123" spans="1:8" x14ac:dyDescent="0.25">
      <c r="A123">
        <v>13.05</v>
      </c>
      <c r="B123">
        <v>14.922305572584952</v>
      </c>
      <c r="C123">
        <f t="shared" si="5"/>
        <v>-1.8723055725849509</v>
      </c>
      <c r="D123">
        <f t="shared" si="9"/>
        <v>-1.5801163326075554</v>
      </c>
      <c r="E123">
        <f t="shared" si="6"/>
        <v>13.342189239977396</v>
      </c>
      <c r="F123">
        <f t="shared" si="7"/>
        <v>-0.29218923997739488</v>
      </c>
      <c r="H123">
        <f t="shared" si="8"/>
        <v>0.29218923997739488</v>
      </c>
    </row>
    <row r="124" spans="1:8" x14ac:dyDescent="0.25">
      <c r="A124">
        <v>14.09375</v>
      </c>
      <c r="B124">
        <v>14.798662304693991</v>
      </c>
      <c r="C124">
        <f t="shared" si="5"/>
        <v>-0.70491230469399113</v>
      </c>
      <c r="D124">
        <f t="shared" si="9"/>
        <v>-1.1398644203456336</v>
      </c>
      <c r="E124">
        <f t="shared" si="6"/>
        <v>13.658797884348358</v>
      </c>
      <c r="F124">
        <f t="shared" si="7"/>
        <v>0.43495211565164205</v>
      </c>
      <c r="H124">
        <f t="shared" si="8"/>
        <v>0.43495211565164205</v>
      </c>
    </row>
    <row r="125" spans="1:8" x14ac:dyDescent="0.25">
      <c r="A125">
        <v>13.4625</v>
      </c>
      <c r="B125">
        <v>14.675511935963286</v>
      </c>
      <c r="C125">
        <f t="shared" si="5"/>
        <v>-1.2130119359632854</v>
      </c>
      <c r="D125">
        <f t="shared" si="9"/>
        <v>-0.36653389535033426</v>
      </c>
      <c r="E125">
        <f t="shared" si="6"/>
        <v>14.308978040612951</v>
      </c>
      <c r="F125">
        <f t="shared" si="7"/>
        <v>-0.84647804061295062</v>
      </c>
      <c r="H125">
        <f t="shared" si="8"/>
        <v>0.84647804061295062</v>
      </c>
    </row>
    <row r="126" spans="1:8" x14ac:dyDescent="0.25">
      <c r="A126">
        <v>13.324999999999999</v>
      </c>
      <c r="B126">
        <v>14.552890958504895</v>
      </c>
      <c r="C126">
        <f t="shared" si="5"/>
        <v>-1.2278909585048954</v>
      </c>
      <c r="D126">
        <f t="shared" si="9"/>
        <v>-1.0744143730258158</v>
      </c>
      <c r="E126">
        <f t="shared" si="6"/>
        <v>13.478476585479079</v>
      </c>
      <c r="F126">
        <f t="shared" si="7"/>
        <v>-0.15347658547907983</v>
      </c>
      <c r="H126">
        <f t="shared" si="8"/>
        <v>0.15347658547907983</v>
      </c>
    </row>
    <row r="127" spans="1:8" x14ac:dyDescent="0.25">
      <c r="A127">
        <v>13.5875</v>
      </c>
      <c r="B127">
        <v>14.430835707560814</v>
      </c>
      <c r="C127">
        <f t="shared" si="5"/>
        <v>-0.84333570756081322</v>
      </c>
      <c r="D127">
        <f t="shared" si="9"/>
        <v>-0.75350724532261093</v>
      </c>
      <c r="E127">
        <f t="shared" si="6"/>
        <v>13.677328462238203</v>
      </c>
      <c r="F127">
        <f t="shared" si="7"/>
        <v>-8.9828462238202178E-2</v>
      </c>
      <c r="H127">
        <f t="shared" si="8"/>
        <v>8.9828462238202178E-2</v>
      </c>
    </row>
    <row r="128" spans="1:8" x14ac:dyDescent="0.25">
      <c r="A128">
        <v>14.168749999999999</v>
      </c>
      <c r="B128">
        <v>14.309382350736071</v>
      </c>
      <c r="C128">
        <f t="shared" si="5"/>
        <v>-0.14063235073607139</v>
      </c>
      <c r="D128">
        <f t="shared" si="9"/>
        <v>-0.49740442347270064</v>
      </c>
      <c r="E128">
        <f t="shared" si="6"/>
        <v>13.811977927263371</v>
      </c>
      <c r="F128">
        <f t="shared" si="7"/>
        <v>0.35677207273662859</v>
      </c>
      <c r="H128">
        <f t="shared" si="8"/>
        <v>0.35677207273662859</v>
      </c>
    </row>
    <row r="129" spans="1:8" x14ac:dyDescent="0.25">
      <c r="A129">
        <v>12.525</v>
      </c>
      <c r="B129">
        <v>14.188566877281469</v>
      </c>
      <c r="C129">
        <f t="shared" si="5"/>
        <v>-1.6635668772814682</v>
      </c>
      <c r="D129">
        <f t="shared" si="9"/>
        <v>-2.7996455755970456E-2</v>
      </c>
      <c r="E129">
        <f t="shared" si="6"/>
        <v>14.160570421525499</v>
      </c>
      <c r="F129">
        <f t="shared" si="7"/>
        <v>-1.6355704215254985</v>
      </c>
      <c r="H129">
        <f t="shared" si="8"/>
        <v>1.6355704215254985</v>
      </c>
    </row>
    <row r="130" spans="1:8" x14ac:dyDescent="0.25">
      <c r="A130">
        <v>12.643750000000001</v>
      </c>
      <c r="B130">
        <v>14.068425087429201</v>
      </c>
      <c r="C130">
        <f t="shared" si="5"/>
        <v>-1.4246750874292005</v>
      </c>
      <c r="D130">
        <f t="shared" si="9"/>
        <v>-1.4864862703000679</v>
      </c>
      <c r="E130">
        <f t="shared" si="6"/>
        <v>12.581938817129133</v>
      </c>
      <c r="F130">
        <f t="shared" si="7"/>
        <v>6.1811182870867398E-2</v>
      </c>
      <c r="H130">
        <f t="shared" si="8"/>
        <v>6.1811182870867398E-2</v>
      </c>
    </row>
    <row r="131" spans="1:8" x14ac:dyDescent="0.25">
      <c r="A131">
        <v>12.8</v>
      </c>
      <c r="B131">
        <v>13.948992581784479</v>
      </c>
      <c r="C131">
        <f t="shared" ref="C131:C194" si="10">A131-B131</f>
        <v>-1.1489925817844782</v>
      </c>
      <c r="D131">
        <f t="shared" si="9"/>
        <v>-0.69317041791593426</v>
      </c>
      <c r="E131">
        <f t="shared" si="6"/>
        <v>13.255822163868544</v>
      </c>
      <c r="F131">
        <f t="shared" si="7"/>
        <v>-0.45582216386854313</v>
      </c>
      <c r="H131">
        <f t="shared" si="8"/>
        <v>0.45582216386854313</v>
      </c>
    </row>
    <row r="132" spans="1:8" x14ac:dyDescent="0.25">
      <c r="A132">
        <v>13.25625</v>
      </c>
      <c r="B132">
        <v>13.83030475077628</v>
      </c>
      <c r="C132">
        <f t="shared" si="10"/>
        <v>-0.57405475077628054</v>
      </c>
      <c r="D132">
        <f t="shared" si="9"/>
        <v>-0.75889093997101709</v>
      </c>
      <c r="E132">
        <f t="shared" ref="E132:E195" si="11">B132+D132</f>
        <v>13.071413810805263</v>
      </c>
      <c r="F132">
        <f t="shared" ref="F132:F195" si="12">A132-E132</f>
        <v>0.18483618919473699</v>
      </c>
      <c r="H132">
        <f t="shared" ref="H132:H195" si="13">ABS(F132)</f>
        <v>0.18483618919473699</v>
      </c>
    </row>
    <row r="133" spans="1:8" x14ac:dyDescent="0.25">
      <c r="A133">
        <v>14.975</v>
      </c>
      <c r="B133">
        <v>13.712396764170435</v>
      </c>
      <c r="C133">
        <f t="shared" si="10"/>
        <v>1.2626032358295642</v>
      </c>
      <c r="D133">
        <f t="shared" si="9"/>
        <v>-0.32565786130232316</v>
      </c>
      <c r="E133">
        <f t="shared" si="11"/>
        <v>13.386738902868112</v>
      </c>
      <c r="F133">
        <f t="shared" si="12"/>
        <v>1.5882610971318876</v>
      </c>
      <c r="H133">
        <f t="shared" si="13"/>
        <v>1.5882610971318876</v>
      </c>
    </row>
    <row r="134" spans="1:8" x14ac:dyDescent="0.25">
      <c r="A134">
        <v>14.99375</v>
      </c>
      <c r="B134">
        <v>13.595303560648034</v>
      </c>
      <c r="C134">
        <f t="shared" si="10"/>
        <v>1.3984464393519662</v>
      </c>
      <c r="D134">
        <f t="shared" ref="D134:D197" si="14">$J$1*C133+$J$2*C132+$J$3*C131</f>
        <v>1.0851514418285499</v>
      </c>
      <c r="E134">
        <f t="shared" si="11"/>
        <v>14.680455002476585</v>
      </c>
      <c r="F134">
        <f t="shared" si="12"/>
        <v>0.31329499752341583</v>
      </c>
      <c r="H134">
        <f t="shared" si="13"/>
        <v>0.31329499752341583</v>
      </c>
    </row>
    <row r="135" spans="1:8" x14ac:dyDescent="0.25">
      <c r="A135">
        <v>11.86875</v>
      </c>
      <c r="B135">
        <v>13.479059837452361</v>
      </c>
      <c r="C135">
        <f t="shared" si="10"/>
        <v>-1.6103098374523608</v>
      </c>
      <c r="D135">
        <f t="shared" si="14"/>
        <v>0.69513849873641875</v>
      </c>
      <c r="E135">
        <f t="shared" si="11"/>
        <v>14.17419833618878</v>
      </c>
      <c r="F135">
        <f t="shared" si="12"/>
        <v>-2.3054483361887801</v>
      </c>
      <c r="H135">
        <f t="shared" si="13"/>
        <v>2.3054483361887801</v>
      </c>
    </row>
    <row r="136" spans="1:8" x14ac:dyDescent="0.25">
      <c r="A136">
        <v>10.831250000000001</v>
      </c>
      <c r="B136">
        <v>13.363700040107341</v>
      </c>
      <c r="C136">
        <f t="shared" si="10"/>
        <v>-2.5324500401073404</v>
      </c>
      <c r="D136">
        <f t="shared" si="14"/>
        <v>-1.6273037487326449</v>
      </c>
      <c r="E136">
        <f t="shared" si="11"/>
        <v>11.736396291374696</v>
      </c>
      <c r="F136">
        <f t="shared" si="12"/>
        <v>-0.90514629137469527</v>
      </c>
      <c r="H136">
        <f t="shared" si="13"/>
        <v>0.90514629137469527</v>
      </c>
    </row>
    <row r="137" spans="1:8" x14ac:dyDescent="0.25">
      <c r="A137">
        <v>11.38125</v>
      </c>
      <c r="B137">
        <v>13.249258352210592</v>
      </c>
      <c r="C137">
        <f t="shared" si="10"/>
        <v>-1.8680083522105928</v>
      </c>
      <c r="D137">
        <f t="shared" si="14"/>
        <v>-1.42323281429458</v>
      </c>
      <c r="E137">
        <f t="shared" si="11"/>
        <v>11.826025537916012</v>
      </c>
      <c r="F137">
        <f t="shared" si="12"/>
        <v>-0.4447755379160121</v>
      </c>
      <c r="H137">
        <f t="shared" si="13"/>
        <v>0.4447755379160121</v>
      </c>
    </row>
    <row r="138" spans="1:8" x14ac:dyDescent="0.25">
      <c r="A138">
        <v>12.80625</v>
      </c>
      <c r="B138">
        <v>13.135768685304102</v>
      </c>
      <c r="C138">
        <f t="shared" si="10"/>
        <v>-0.32951868530410167</v>
      </c>
      <c r="D138">
        <f t="shared" si="14"/>
        <v>-1.0045654103708539</v>
      </c>
      <c r="E138">
        <f t="shared" si="11"/>
        <v>12.131203274933249</v>
      </c>
      <c r="F138">
        <f t="shared" si="12"/>
        <v>0.67504672506675156</v>
      </c>
      <c r="H138">
        <f t="shared" si="13"/>
        <v>0.67504672506675156</v>
      </c>
    </row>
    <row r="139" spans="1:8" x14ac:dyDescent="0.25">
      <c r="A139">
        <v>13.2125</v>
      </c>
      <c r="B139">
        <v>13.023264668825476</v>
      </c>
      <c r="C139">
        <f t="shared" si="10"/>
        <v>0.18923533117452429</v>
      </c>
      <c r="D139">
        <f t="shared" si="14"/>
        <v>-4.9891191284197833E-2</v>
      </c>
      <c r="E139">
        <f t="shared" si="11"/>
        <v>12.973373477541278</v>
      </c>
      <c r="F139">
        <f t="shared" si="12"/>
        <v>0.23912652245872223</v>
      </c>
      <c r="H139">
        <f t="shared" si="13"/>
        <v>0.23912652245872223</v>
      </c>
    </row>
    <row r="140" spans="1:8" x14ac:dyDescent="0.25">
      <c r="A140">
        <v>13.81875</v>
      </c>
      <c r="B140">
        <v>12.911779640142832</v>
      </c>
      <c r="C140">
        <f t="shared" si="10"/>
        <v>0.90697035985716745</v>
      </c>
      <c r="D140">
        <f t="shared" si="14"/>
        <v>-7.0327465085899266E-3</v>
      </c>
      <c r="E140">
        <f t="shared" si="11"/>
        <v>12.904746893634242</v>
      </c>
      <c r="F140">
        <f t="shared" si="12"/>
        <v>0.9140031063657581</v>
      </c>
      <c r="H140">
        <f t="shared" si="13"/>
        <v>0.9140031063657581</v>
      </c>
    </row>
    <row r="141" spans="1:8" x14ac:dyDescent="0.25">
      <c r="A141">
        <v>13.043749999999999</v>
      </c>
      <c r="B141">
        <v>12.801346634676218</v>
      </c>
      <c r="C141">
        <f t="shared" si="10"/>
        <v>0.24240336532378137</v>
      </c>
      <c r="D141">
        <f t="shared" si="14"/>
        <v>0.65901065602447884</v>
      </c>
      <c r="E141">
        <f t="shared" si="11"/>
        <v>13.460357290700697</v>
      </c>
      <c r="F141">
        <f t="shared" si="12"/>
        <v>-0.41660729070069813</v>
      </c>
      <c r="H141">
        <f t="shared" si="13"/>
        <v>0.41660729070069813</v>
      </c>
    </row>
    <row r="142" spans="1:8" x14ac:dyDescent="0.25">
      <c r="A142">
        <v>12.887499999999999</v>
      </c>
      <c r="B142">
        <v>12.691998376108483</v>
      </c>
      <c r="C142">
        <f t="shared" si="10"/>
        <v>0.19550162389151637</v>
      </c>
      <c r="D142">
        <f t="shared" si="14"/>
        <v>-5.7999423438482273E-2</v>
      </c>
      <c r="E142">
        <f t="shared" si="11"/>
        <v>12.63399895267</v>
      </c>
      <c r="F142">
        <f t="shared" si="12"/>
        <v>0.25350104732999945</v>
      </c>
      <c r="H142">
        <f t="shared" si="13"/>
        <v>0.25350104732999945</v>
      </c>
    </row>
    <row r="143" spans="1:8" x14ac:dyDescent="0.25">
      <c r="A143">
        <v>13.18125</v>
      </c>
      <c r="B143">
        <v>12.58376726668858</v>
      </c>
      <c r="C143">
        <f t="shared" si="10"/>
        <v>0.59748273331141988</v>
      </c>
      <c r="D143">
        <f t="shared" si="14"/>
        <v>0.22028128510235326</v>
      </c>
      <c r="E143">
        <f t="shared" si="11"/>
        <v>12.804048551790935</v>
      </c>
      <c r="F143">
        <f t="shared" si="12"/>
        <v>0.37720144820906576</v>
      </c>
      <c r="H143">
        <f t="shared" si="13"/>
        <v>0.37720144820906576</v>
      </c>
    </row>
    <row r="144" spans="1:8" x14ac:dyDescent="0.25">
      <c r="A144">
        <v>12.25</v>
      </c>
      <c r="B144">
        <v>12.476685377630044</v>
      </c>
      <c r="C144">
        <f t="shared" si="10"/>
        <v>-0.22668537763004437</v>
      </c>
      <c r="D144">
        <f t="shared" si="14"/>
        <v>0.47854664291324317</v>
      </c>
      <c r="E144">
        <f t="shared" si="11"/>
        <v>12.955232020543287</v>
      </c>
      <c r="F144">
        <f t="shared" si="12"/>
        <v>-0.70523202054328671</v>
      </c>
      <c r="H144">
        <f t="shared" si="13"/>
        <v>0.70523202054328671</v>
      </c>
    </row>
    <row r="145" spans="1:8" x14ac:dyDescent="0.25">
      <c r="A145">
        <v>14.856249999999999</v>
      </c>
      <c r="B145">
        <v>12.37078443960762</v>
      </c>
      <c r="C145">
        <f t="shared" si="10"/>
        <v>2.4854655603923792</v>
      </c>
      <c r="D145">
        <f t="shared" si="14"/>
        <v>-0.35496176602401736</v>
      </c>
      <c r="E145">
        <f t="shared" si="11"/>
        <v>12.015822673583603</v>
      </c>
      <c r="F145">
        <f t="shared" si="12"/>
        <v>2.8404273264163962</v>
      </c>
      <c r="H145">
        <f t="shared" si="13"/>
        <v>2.8404273264163962</v>
      </c>
    </row>
    <row r="146" spans="1:8" x14ac:dyDescent="0.25">
      <c r="A146">
        <v>12.21875</v>
      </c>
      <c r="B146">
        <v>12.266095833354774</v>
      </c>
      <c r="C146">
        <f t="shared" si="10"/>
        <v>-4.7345833354773603E-2</v>
      </c>
      <c r="D146">
        <f t="shared" si="14"/>
        <v>2.2641853713709419</v>
      </c>
      <c r="E146">
        <f t="shared" si="11"/>
        <v>14.530281204725716</v>
      </c>
      <c r="F146">
        <f t="shared" si="12"/>
        <v>-2.3115312047257159</v>
      </c>
      <c r="H146">
        <f t="shared" si="13"/>
        <v>2.3115312047257159</v>
      </c>
    </row>
    <row r="147" spans="1:8" x14ac:dyDescent="0.25">
      <c r="A147">
        <v>8.7500009999999993</v>
      </c>
      <c r="B147">
        <v>12.1626505803649</v>
      </c>
      <c r="C147">
        <f t="shared" si="10"/>
        <v>-3.4126495803649011</v>
      </c>
      <c r="D147">
        <f t="shared" si="14"/>
        <v>-0.87029052140773677</v>
      </c>
      <c r="E147">
        <f t="shared" si="11"/>
        <v>11.292360058957163</v>
      </c>
      <c r="F147">
        <f t="shared" si="12"/>
        <v>-2.5423590589571639</v>
      </c>
      <c r="H147">
        <f t="shared" si="13"/>
        <v>2.5423590589571639</v>
      </c>
    </row>
    <row r="148" spans="1:8" x14ac:dyDescent="0.25">
      <c r="A148">
        <v>9.9562519999999992</v>
      </c>
      <c r="B148">
        <v>12.060479333698998</v>
      </c>
      <c r="C148">
        <f t="shared" si="10"/>
        <v>-2.1042273336989989</v>
      </c>
      <c r="D148">
        <f t="shared" si="14"/>
        <v>-2.5108388076067225</v>
      </c>
      <c r="E148">
        <f t="shared" si="11"/>
        <v>9.5496405260922756</v>
      </c>
      <c r="F148">
        <f t="shared" si="12"/>
        <v>0.40661147390772356</v>
      </c>
      <c r="H148">
        <f t="shared" si="13"/>
        <v>0.40661147390772356</v>
      </c>
    </row>
    <row r="149" spans="1:8" x14ac:dyDescent="0.25">
      <c r="A149">
        <v>9.4812510000000003</v>
      </c>
      <c r="B149">
        <v>11.959612368902485</v>
      </c>
      <c r="C149">
        <f t="shared" si="10"/>
        <v>-2.478361368902485</v>
      </c>
      <c r="D149">
        <f t="shared" si="14"/>
        <v>-0.69391936653968134</v>
      </c>
      <c r="E149">
        <f t="shared" si="11"/>
        <v>11.265693002362804</v>
      </c>
      <c r="F149">
        <f t="shared" si="12"/>
        <v>-1.7844420023628036</v>
      </c>
      <c r="H149">
        <f t="shared" si="13"/>
        <v>1.7844420023628036</v>
      </c>
    </row>
    <row r="150" spans="1:8" x14ac:dyDescent="0.25">
      <c r="A150">
        <v>9.8312500000000007</v>
      </c>
      <c r="B150">
        <v>11.86007957503392</v>
      </c>
      <c r="C150">
        <f t="shared" si="10"/>
        <v>-2.0288295750339191</v>
      </c>
      <c r="D150">
        <f t="shared" si="14"/>
        <v>-1.9219431326868872</v>
      </c>
      <c r="E150">
        <f t="shared" si="11"/>
        <v>9.938136442347032</v>
      </c>
      <c r="F150">
        <f t="shared" si="12"/>
        <v>-0.10688644234703126</v>
      </c>
      <c r="H150">
        <f t="shared" si="13"/>
        <v>0.10688644234703126</v>
      </c>
    </row>
    <row r="151" spans="1:8" x14ac:dyDescent="0.25">
      <c r="A151">
        <v>11.15625</v>
      </c>
      <c r="B151">
        <v>11.761910445808219</v>
      </c>
      <c r="C151">
        <f t="shared" si="10"/>
        <v>-0.60566044580821909</v>
      </c>
      <c r="D151">
        <f t="shared" si="14"/>
        <v>-1.2302242406701129</v>
      </c>
      <c r="E151">
        <f t="shared" si="11"/>
        <v>10.531686205138106</v>
      </c>
      <c r="F151">
        <f t="shared" si="12"/>
        <v>0.62456379486189384</v>
      </c>
      <c r="H151">
        <f t="shared" si="13"/>
        <v>0.62456379486189384</v>
      </c>
    </row>
    <row r="152" spans="1:8" x14ac:dyDescent="0.25">
      <c r="A152">
        <v>10.55</v>
      </c>
      <c r="B152">
        <v>11.665134070857032</v>
      </c>
      <c r="C152">
        <f t="shared" si="10"/>
        <v>-1.1151340708570316</v>
      </c>
      <c r="D152">
        <f t="shared" si="14"/>
        <v>-0.22419508470451355</v>
      </c>
      <c r="E152">
        <f t="shared" si="11"/>
        <v>11.440938986152519</v>
      </c>
      <c r="F152">
        <f t="shared" si="12"/>
        <v>-0.8909389861525181</v>
      </c>
      <c r="H152">
        <f t="shared" si="13"/>
        <v>0.8909389861525181</v>
      </c>
    </row>
    <row r="153" spans="1:8" x14ac:dyDescent="0.25">
      <c r="A153">
        <v>9.3500010000000007</v>
      </c>
      <c r="B153">
        <v>11.56977912710887</v>
      </c>
      <c r="C153">
        <f t="shared" si="10"/>
        <v>-2.219778127108869</v>
      </c>
      <c r="D153">
        <f t="shared" si="14"/>
        <v>-1.0462492003293227</v>
      </c>
      <c r="E153">
        <f t="shared" si="11"/>
        <v>10.523529926779547</v>
      </c>
      <c r="F153">
        <f t="shared" si="12"/>
        <v>-1.1735289267795466</v>
      </c>
      <c r="H153">
        <f t="shared" si="13"/>
        <v>1.1735289267795466</v>
      </c>
    </row>
    <row r="154" spans="1:8" x14ac:dyDescent="0.25">
      <c r="A154">
        <v>11.15</v>
      </c>
      <c r="B154">
        <v>11.475873870291487</v>
      </c>
      <c r="C154">
        <f t="shared" si="10"/>
        <v>-0.32587387029148651</v>
      </c>
      <c r="D154">
        <f t="shared" si="14"/>
        <v>-1.6101276570190992</v>
      </c>
      <c r="E154">
        <f t="shared" si="11"/>
        <v>9.8657462132723879</v>
      </c>
      <c r="F154">
        <f t="shared" si="12"/>
        <v>1.2842537867276125</v>
      </c>
      <c r="H154">
        <f t="shared" si="13"/>
        <v>1.2842537867276125</v>
      </c>
    </row>
    <row r="155" spans="1:8" x14ac:dyDescent="0.25">
      <c r="A155">
        <v>13.074999999999999</v>
      </c>
      <c r="B155">
        <v>11.383446126559123</v>
      </c>
      <c r="C155">
        <f t="shared" si="10"/>
        <v>1.6915538734408759</v>
      </c>
      <c r="D155">
        <f t="shared" si="14"/>
        <v>0.27307693902282948</v>
      </c>
      <c r="E155">
        <f t="shared" si="11"/>
        <v>11.656523065581952</v>
      </c>
      <c r="F155">
        <f t="shared" si="12"/>
        <v>1.418476934418047</v>
      </c>
      <c r="H155">
        <f t="shared" si="13"/>
        <v>1.418476934418047</v>
      </c>
    </row>
    <row r="156" spans="1:8" x14ac:dyDescent="0.25">
      <c r="A156">
        <v>11.275</v>
      </c>
      <c r="B156">
        <v>11.292523284246998</v>
      </c>
      <c r="C156">
        <f t="shared" si="10"/>
        <v>-1.7523284246998116E-2</v>
      </c>
      <c r="D156">
        <f t="shared" si="14"/>
        <v>1.2122676750869195</v>
      </c>
      <c r="E156">
        <f t="shared" si="11"/>
        <v>12.504790959333917</v>
      </c>
      <c r="F156">
        <f t="shared" si="12"/>
        <v>-1.2297909593339167</v>
      </c>
      <c r="H156">
        <f t="shared" si="13"/>
        <v>1.2297909593339167</v>
      </c>
    </row>
    <row r="157" spans="1:8" x14ac:dyDescent="0.25">
      <c r="A157">
        <v>10.606249999999999</v>
      </c>
      <c r="B157">
        <v>11.203132285755563</v>
      </c>
      <c r="C157">
        <f t="shared" si="10"/>
        <v>-0.59688228575556401</v>
      </c>
      <c r="D157">
        <f t="shared" si="14"/>
        <v>-0.60492671210558369</v>
      </c>
      <c r="E157">
        <f t="shared" si="11"/>
        <v>10.598205573649979</v>
      </c>
      <c r="F157">
        <f t="shared" si="12"/>
        <v>8.0444263500201174E-3</v>
      </c>
      <c r="H157">
        <f t="shared" si="13"/>
        <v>8.0444263500201174E-3</v>
      </c>
    </row>
    <row r="158" spans="1:8" x14ac:dyDescent="0.25">
      <c r="A158">
        <v>12.824999999999999</v>
      </c>
      <c r="B158">
        <v>11.115299619566892</v>
      </c>
      <c r="C158">
        <f t="shared" si="10"/>
        <v>1.709700380433107</v>
      </c>
      <c r="D158">
        <f t="shared" si="14"/>
        <v>-0.25256480495293626</v>
      </c>
      <c r="E158">
        <f t="shared" si="11"/>
        <v>10.862734814613956</v>
      </c>
      <c r="F158">
        <f t="shared" si="12"/>
        <v>1.9622651853860429</v>
      </c>
      <c r="H158">
        <f t="shared" si="13"/>
        <v>1.9622651853860429</v>
      </c>
    </row>
    <row r="159" spans="1:8" x14ac:dyDescent="0.25">
      <c r="A159">
        <v>12.36875</v>
      </c>
      <c r="B159">
        <v>11.029051312395559</v>
      </c>
      <c r="C159">
        <f t="shared" si="10"/>
        <v>1.3396986876044412</v>
      </c>
      <c r="D159">
        <f t="shared" si="14"/>
        <v>1.6362923392879913</v>
      </c>
      <c r="E159">
        <f t="shared" si="11"/>
        <v>12.66534365168355</v>
      </c>
      <c r="F159">
        <f t="shared" si="12"/>
        <v>-0.29659365168354945</v>
      </c>
      <c r="H159">
        <f t="shared" si="13"/>
        <v>0.29659365168354945</v>
      </c>
    </row>
    <row r="160" spans="1:8" x14ac:dyDescent="0.25">
      <c r="A160">
        <v>12.762499999999999</v>
      </c>
      <c r="B160">
        <v>10.944412921476367</v>
      </c>
      <c r="C160">
        <f t="shared" si="10"/>
        <v>1.8180870785236323</v>
      </c>
      <c r="D160">
        <f t="shared" si="14"/>
        <v>0.49868349497213477</v>
      </c>
      <c r="E160">
        <f t="shared" si="11"/>
        <v>11.443096416448501</v>
      </c>
      <c r="F160">
        <f t="shared" si="12"/>
        <v>1.3194035835514981</v>
      </c>
      <c r="H160">
        <f t="shared" si="13"/>
        <v>1.3194035835514981</v>
      </c>
    </row>
    <row r="161" spans="1:8" x14ac:dyDescent="0.25">
      <c r="A161">
        <v>10.074999999999999</v>
      </c>
      <c r="B161">
        <v>10.861409526991196</v>
      </c>
      <c r="C161">
        <f t="shared" si="10"/>
        <v>-0.78640952699119637</v>
      </c>
      <c r="D161">
        <f t="shared" si="14"/>
        <v>1.3593383771446399</v>
      </c>
      <c r="E161">
        <f t="shared" si="11"/>
        <v>12.220747904135836</v>
      </c>
      <c r="F161">
        <f t="shared" si="12"/>
        <v>-2.1457479041358365</v>
      </c>
      <c r="H161">
        <f t="shared" si="13"/>
        <v>2.1457479041358365</v>
      </c>
    </row>
    <row r="162" spans="1:8" x14ac:dyDescent="0.25">
      <c r="A162">
        <v>9.9625020000000006</v>
      </c>
      <c r="B162">
        <v>10.780065724637184</v>
      </c>
      <c r="C162">
        <f t="shared" si="10"/>
        <v>-0.81756372463718385</v>
      </c>
      <c r="D162">
        <f t="shared" si="14"/>
        <v>-1.0531048533742668</v>
      </c>
      <c r="E162">
        <f t="shared" si="11"/>
        <v>9.7269608712629179</v>
      </c>
      <c r="F162">
        <f t="shared" si="12"/>
        <v>0.23554112873708277</v>
      </c>
      <c r="H162">
        <f t="shared" si="13"/>
        <v>0.23554112873708277</v>
      </c>
    </row>
    <row r="163" spans="1:8" x14ac:dyDescent="0.25">
      <c r="A163">
        <v>9.2687519999999992</v>
      </c>
      <c r="B163">
        <v>10.700405618338522</v>
      </c>
      <c r="C163">
        <f t="shared" si="10"/>
        <v>-1.4316536183385224</v>
      </c>
      <c r="D163">
        <f t="shared" si="14"/>
        <v>-0.17432539179946049</v>
      </c>
      <c r="E163">
        <f t="shared" si="11"/>
        <v>10.526080226539062</v>
      </c>
      <c r="F163">
        <f t="shared" si="12"/>
        <v>-1.2573282265390624</v>
      </c>
      <c r="H163">
        <f t="shared" si="13"/>
        <v>1.2573282265390624</v>
      </c>
    </row>
    <row r="164" spans="1:8" x14ac:dyDescent="0.25">
      <c r="A164">
        <v>8.3437509999999993</v>
      </c>
      <c r="B164">
        <v>10.622452813103905</v>
      </c>
      <c r="C164">
        <f t="shared" si="10"/>
        <v>-2.2787018131039058</v>
      </c>
      <c r="D164">
        <f t="shared" si="14"/>
        <v>-1.0647396986876621</v>
      </c>
      <c r="E164">
        <f t="shared" si="11"/>
        <v>9.5577131144162433</v>
      </c>
      <c r="F164">
        <f t="shared" si="12"/>
        <v>-1.213962114416244</v>
      </c>
      <c r="H164">
        <f t="shared" si="13"/>
        <v>1.213962114416244</v>
      </c>
    </row>
    <row r="165" spans="1:8" x14ac:dyDescent="0.25">
      <c r="A165">
        <v>10.4</v>
      </c>
      <c r="B165">
        <v>10.546230408031885</v>
      </c>
      <c r="C165">
        <f t="shared" si="10"/>
        <v>-0.14623040803188481</v>
      </c>
      <c r="D165">
        <f t="shared" si="14"/>
        <v>-1.5894636997420954</v>
      </c>
      <c r="E165">
        <f t="shared" si="11"/>
        <v>8.9567667082897895</v>
      </c>
      <c r="F165">
        <f t="shared" si="12"/>
        <v>1.4432332917102109</v>
      </c>
      <c r="H165">
        <f t="shared" si="13"/>
        <v>1.4432332917102109</v>
      </c>
    </row>
    <row r="166" spans="1:8" x14ac:dyDescent="0.25">
      <c r="A166">
        <v>10.918749999999999</v>
      </c>
      <c r="B166">
        <v>10.471760989466098</v>
      </c>
      <c r="C166">
        <f t="shared" si="10"/>
        <v>0.44698901053390117</v>
      </c>
      <c r="D166">
        <f t="shared" si="14"/>
        <v>0.3978164143833709</v>
      </c>
      <c r="E166">
        <f t="shared" si="11"/>
        <v>10.869577403849469</v>
      </c>
      <c r="F166">
        <f t="shared" si="12"/>
        <v>4.9172596150530268E-2</v>
      </c>
      <c r="H166">
        <f t="shared" si="13"/>
        <v>4.9172596150530268E-2</v>
      </c>
    </row>
    <row r="167" spans="1:8" x14ac:dyDescent="0.25">
      <c r="A167">
        <v>11.45</v>
      </c>
      <c r="B167">
        <v>10.399066624302449</v>
      </c>
      <c r="C167">
        <f t="shared" si="10"/>
        <v>1.0509333756975501</v>
      </c>
      <c r="D167">
        <f t="shared" si="14"/>
        <v>9.2398653279345544E-2</v>
      </c>
      <c r="E167">
        <f t="shared" si="11"/>
        <v>10.491465277581796</v>
      </c>
      <c r="F167">
        <f t="shared" si="12"/>
        <v>0.9585347224182037</v>
      </c>
      <c r="H167">
        <f t="shared" si="13"/>
        <v>0.9585347224182037</v>
      </c>
    </row>
    <row r="168" spans="1:8" x14ac:dyDescent="0.25">
      <c r="A168">
        <v>9.4312509999999996</v>
      </c>
      <c r="B168">
        <v>10.328168853450208</v>
      </c>
      <c r="C168">
        <f t="shared" si="10"/>
        <v>-0.89691785345020847</v>
      </c>
      <c r="D168">
        <f t="shared" si="14"/>
        <v>0.72500655757386545</v>
      </c>
      <c r="E168">
        <f t="shared" si="11"/>
        <v>11.053175411024073</v>
      </c>
      <c r="F168">
        <f t="shared" si="12"/>
        <v>-1.6219244110240734</v>
      </c>
      <c r="H168">
        <f t="shared" si="13"/>
        <v>1.6219244110240734</v>
      </c>
    </row>
    <row r="169" spans="1:8" x14ac:dyDescent="0.25">
      <c r="A169">
        <v>8.1624999999999996</v>
      </c>
      <c r="B169">
        <v>10.25908868544898</v>
      </c>
      <c r="C169">
        <f t="shared" si="10"/>
        <v>-2.0965886854489799</v>
      </c>
      <c r="D169">
        <f t="shared" si="14"/>
        <v>-1.0310598938781477</v>
      </c>
      <c r="E169">
        <f t="shared" si="11"/>
        <v>9.2280287915708321</v>
      </c>
      <c r="F169">
        <f t="shared" si="12"/>
        <v>-1.0655287915708325</v>
      </c>
      <c r="H169">
        <f t="shared" si="13"/>
        <v>1.0655287915708325</v>
      </c>
    </row>
    <row r="170" spans="1:8" x14ac:dyDescent="0.25">
      <c r="A170">
        <v>7.3812499999999996</v>
      </c>
      <c r="B170">
        <v>10.191846590243411</v>
      </c>
      <c r="C170">
        <f t="shared" si="10"/>
        <v>-2.8105965902434118</v>
      </c>
      <c r="D170">
        <f t="shared" si="14"/>
        <v>-1.3337890593102124</v>
      </c>
      <c r="E170">
        <f t="shared" si="11"/>
        <v>8.8580575309331984</v>
      </c>
      <c r="F170">
        <f t="shared" si="12"/>
        <v>-1.4768075309331987</v>
      </c>
      <c r="H170">
        <f t="shared" si="13"/>
        <v>1.4768075309331987</v>
      </c>
    </row>
    <row r="171" spans="1:8" x14ac:dyDescent="0.25">
      <c r="A171">
        <v>9.9749990000000004</v>
      </c>
      <c r="B171">
        <v>10.126462493117515</v>
      </c>
      <c r="C171">
        <f t="shared" si="10"/>
        <v>-0.1514634931175145</v>
      </c>
      <c r="D171">
        <f t="shared" si="14"/>
        <v>-1.8381147802656601</v>
      </c>
      <c r="E171">
        <f t="shared" si="11"/>
        <v>8.2883477128518557</v>
      </c>
      <c r="F171">
        <f t="shared" si="12"/>
        <v>1.6866512871481447</v>
      </c>
      <c r="H171">
        <f t="shared" si="13"/>
        <v>1.6866512871481447</v>
      </c>
    </row>
    <row r="172" spans="1:8" x14ac:dyDescent="0.25">
      <c r="A172">
        <v>11.5</v>
      </c>
      <c r="B172">
        <v>10.062955768790378</v>
      </c>
      <c r="C172">
        <f t="shared" si="10"/>
        <v>1.4370442312096223</v>
      </c>
      <c r="D172">
        <f t="shared" si="14"/>
        <v>0.46681772627367824</v>
      </c>
      <c r="E172">
        <f t="shared" si="11"/>
        <v>10.529773495064056</v>
      </c>
      <c r="F172">
        <f t="shared" si="12"/>
        <v>0.97022650493594398</v>
      </c>
      <c r="H172">
        <f t="shared" si="13"/>
        <v>0.97022650493594398</v>
      </c>
    </row>
    <row r="173" spans="1:8" x14ac:dyDescent="0.25">
      <c r="A173">
        <v>10.94375</v>
      </c>
      <c r="B173">
        <v>10.001345235675004</v>
      </c>
      <c r="C173">
        <f t="shared" si="10"/>
        <v>0.94240476432499598</v>
      </c>
      <c r="D173">
        <f t="shared" si="14"/>
        <v>0.85454782655029082</v>
      </c>
      <c r="E173">
        <f t="shared" si="11"/>
        <v>10.855893062225295</v>
      </c>
      <c r="F173">
        <f t="shared" si="12"/>
        <v>8.7856937774704491E-2</v>
      </c>
      <c r="H173">
        <f t="shared" si="13"/>
        <v>8.7856937774704491E-2</v>
      </c>
    </row>
    <row r="174" spans="1:8" x14ac:dyDescent="0.25">
      <c r="A174">
        <v>8.4125010000000007</v>
      </c>
      <c r="B174">
        <v>9.9416491503020179</v>
      </c>
      <c r="C174">
        <f t="shared" si="10"/>
        <v>-1.5291481503020172</v>
      </c>
      <c r="D174">
        <f t="shared" si="14"/>
        <v>0.31485097218414682</v>
      </c>
      <c r="E174">
        <f t="shared" si="11"/>
        <v>10.256500122486164</v>
      </c>
      <c r="F174">
        <f t="shared" si="12"/>
        <v>-1.8439991224861636</v>
      </c>
      <c r="H174">
        <f t="shared" si="13"/>
        <v>1.8439991224861636</v>
      </c>
    </row>
    <row r="175" spans="1:8" x14ac:dyDescent="0.25">
      <c r="A175">
        <v>8.3687509999999996</v>
      </c>
      <c r="B175">
        <v>9.883885201909866</v>
      </c>
      <c r="C175">
        <f t="shared" si="10"/>
        <v>-1.5151342019098664</v>
      </c>
      <c r="D175">
        <f t="shared" si="14"/>
        <v>-1.3868538697849881</v>
      </c>
      <c r="E175">
        <f t="shared" si="11"/>
        <v>8.4970313321248785</v>
      </c>
      <c r="F175">
        <f t="shared" si="12"/>
        <v>-0.12828033212487888</v>
      </c>
      <c r="H175">
        <f t="shared" si="13"/>
        <v>0.12828033212487888</v>
      </c>
    </row>
    <row r="176" spans="1:8" x14ac:dyDescent="0.25">
      <c r="A176">
        <v>6.8687509999999996</v>
      </c>
      <c r="B176">
        <v>9.8280705072030994</v>
      </c>
      <c r="C176">
        <f t="shared" si="10"/>
        <v>-2.9593195072030998</v>
      </c>
      <c r="D176">
        <f t="shared" si="14"/>
        <v>-0.65462946746715411</v>
      </c>
      <c r="E176">
        <f t="shared" si="11"/>
        <v>9.1734410397359447</v>
      </c>
      <c r="F176">
        <f t="shared" si="12"/>
        <v>-2.3046900397359451</v>
      </c>
      <c r="H176">
        <f t="shared" si="13"/>
        <v>2.3046900397359451</v>
      </c>
    </row>
    <row r="177" spans="1:8" x14ac:dyDescent="0.25">
      <c r="A177">
        <v>6.5125000000000002</v>
      </c>
      <c r="B177">
        <v>9.7742216052803439</v>
      </c>
      <c r="C177">
        <f t="shared" si="10"/>
        <v>-3.2617216052803437</v>
      </c>
      <c r="D177">
        <f t="shared" si="14"/>
        <v>-2.2428649010047748</v>
      </c>
      <c r="E177">
        <f t="shared" si="11"/>
        <v>7.5313567042755691</v>
      </c>
      <c r="F177">
        <f t="shared" si="12"/>
        <v>-1.018856704275569</v>
      </c>
      <c r="H177">
        <f t="shared" si="13"/>
        <v>1.018856704275569</v>
      </c>
    </row>
    <row r="178" spans="1:8" x14ac:dyDescent="0.25">
      <c r="A178">
        <v>10.53125</v>
      </c>
      <c r="B178">
        <v>9.7223544527333932</v>
      </c>
      <c r="C178">
        <f t="shared" si="10"/>
        <v>0.80889554726660684</v>
      </c>
      <c r="D178">
        <f t="shared" si="14"/>
        <v>-2.0336808519693363</v>
      </c>
      <c r="E178">
        <f t="shared" si="11"/>
        <v>7.6886736007640568</v>
      </c>
      <c r="F178">
        <f t="shared" si="12"/>
        <v>2.8425763992359432</v>
      </c>
      <c r="H178">
        <f t="shared" si="13"/>
        <v>2.8425763992359432</v>
      </c>
    </row>
    <row r="179" spans="1:8" x14ac:dyDescent="0.25">
      <c r="A179">
        <v>11.487500000000001</v>
      </c>
      <c r="B179">
        <v>9.6724844189189305</v>
      </c>
      <c r="C179">
        <f t="shared" si="10"/>
        <v>1.8150155810810702</v>
      </c>
      <c r="D179">
        <f t="shared" si="14"/>
        <v>1.2984885091269425</v>
      </c>
      <c r="E179">
        <f t="shared" si="11"/>
        <v>10.970972928045873</v>
      </c>
      <c r="F179">
        <f t="shared" si="12"/>
        <v>0.51652707195412795</v>
      </c>
      <c r="H179">
        <f t="shared" si="13"/>
        <v>0.51652707195412795</v>
      </c>
    </row>
    <row r="180" spans="1:8" x14ac:dyDescent="0.25">
      <c r="A180">
        <v>10.00625</v>
      </c>
      <c r="B180">
        <v>9.6246262814042609</v>
      </c>
      <c r="C180">
        <f t="shared" si="10"/>
        <v>0.38162371859573874</v>
      </c>
      <c r="D180">
        <f t="shared" si="14"/>
        <v>0.80064186240337509</v>
      </c>
      <c r="E180">
        <f t="shared" si="11"/>
        <v>10.425268143807635</v>
      </c>
      <c r="F180">
        <f t="shared" si="12"/>
        <v>-0.41901814380763547</v>
      </c>
      <c r="H180">
        <f t="shared" si="13"/>
        <v>0.41901814380763547</v>
      </c>
    </row>
    <row r="181" spans="1:8" x14ac:dyDescent="0.25">
      <c r="A181">
        <v>9.6937499999999996</v>
      </c>
      <c r="B181">
        <v>9.5787942215883888</v>
      </c>
      <c r="C181">
        <f t="shared" si="10"/>
        <v>0.11495577841161086</v>
      </c>
      <c r="D181">
        <f t="shared" si="14"/>
        <v>-0.14081321723389553</v>
      </c>
      <c r="E181">
        <f t="shared" si="11"/>
        <v>9.4379810043544925</v>
      </c>
      <c r="F181">
        <f t="shared" si="12"/>
        <v>0.25576899564550715</v>
      </c>
      <c r="H181">
        <f t="shared" si="13"/>
        <v>0.25576899564550715</v>
      </c>
    </row>
    <row r="182" spans="1:8" x14ac:dyDescent="0.25">
      <c r="A182">
        <v>6.331251</v>
      </c>
      <c r="B182">
        <v>9.5350018204997777</v>
      </c>
      <c r="C182">
        <f t="shared" si="10"/>
        <v>-3.2037508204997778</v>
      </c>
      <c r="D182">
        <f t="shared" si="14"/>
        <v>0.2401086118455607</v>
      </c>
      <c r="E182">
        <f t="shared" si="11"/>
        <v>9.7751104323453379</v>
      </c>
      <c r="F182">
        <f t="shared" si="12"/>
        <v>-3.443859432345338</v>
      </c>
      <c r="H182">
        <f t="shared" si="13"/>
        <v>3.443859432345338</v>
      </c>
    </row>
    <row r="183" spans="1:8" x14ac:dyDescent="0.25">
      <c r="A183">
        <v>5.2937510000000003</v>
      </c>
      <c r="B183">
        <v>9.4932620547719893</v>
      </c>
      <c r="C183">
        <f t="shared" si="10"/>
        <v>-4.1995110547719889</v>
      </c>
      <c r="D183">
        <f t="shared" si="14"/>
        <v>-2.6934065374848779</v>
      </c>
      <c r="E183">
        <f t="shared" si="11"/>
        <v>6.7998555172871118</v>
      </c>
      <c r="F183">
        <f t="shared" si="12"/>
        <v>-1.5061045172871115</v>
      </c>
      <c r="H183">
        <f t="shared" si="13"/>
        <v>1.5061045172871115</v>
      </c>
    </row>
    <row r="184" spans="1:8" x14ac:dyDescent="0.25">
      <c r="A184">
        <v>7.3875000000000002</v>
      </c>
      <c r="B184">
        <v>9.4535872927984208</v>
      </c>
      <c r="C184">
        <f t="shared" si="10"/>
        <v>-2.0660872927984206</v>
      </c>
      <c r="D184">
        <f t="shared" si="14"/>
        <v>-2.511068131609751</v>
      </c>
      <c r="E184">
        <f t="shared" si="11"/>
        <v>6.9425191611886703</v>
      </c>
      <c r="F184">
        <f t="shared" si="12"/>
        <v>0.44498083881132988</v>
      </c>
      <c r="H184">
        <f t="shared" si="13"/>
        <v>0.44498083881132988</v>
      </c>
    </row>
    <row r="185" spans="1:8" x14ac:dyDescent="0.25">
      <c r="A185">
        <v>8.375</v>
      </c>
      <c r="B185">
        <v>9.4159892910673033</v>
      </c>
      <c r="C185">
        <f t="shared" si="10"/>
        <v>-1.0409892910673033</v>
      </c>
      <c r="D185">
        <f t="shared" si="14"/>
        <v>-0.87043430169278357</v>
      </c>
      <c r="E185">
        <f t="shared" si="11"/>
        <v>8.5455549893745193</v>
      </c>
      <c r="F185">
        <f t="shared" si="12"/>
        <v>-0.17055498937451929</v>
      </c>
      <c r="H185">
        <f t="shared" si="13"/>
        <v>0.17055498937451929</v>
      </c>
    </row>
    <row r="186" spans="1:8" x14ac:dyDescent="0.25">
      <c r="A186">
        <v>10.643750000000001</v>
      </c>
      <c r="B186">
        <v>9.3804791906779759</v>
      </c>
      <c r="C186">
        <f t="shared" si="10"/>
        <v>1.2632708093220248</v>
      </c>
      <c r="D186">
        <f t="shared" si="14"/>
        <v>-0.83225590411931316</v>
      </c>
      <c r="E186">
        <f t="shared" si="11"/>
        <v>8.5482232865586631</v>
      </c>
      <c r="F186">
        <f t="shared" si="12"/>
        <v>2.0955267134413376</v>
      </c>
      <c r="H186">
        <f t="shared" si="13"/>
        <v>2.0955267134413376</v>
      </c>
    </row>
    <row r="187" spans="1:8" x14ac:dyDescent="0.25">
      <c r="A187">
        <v>8.4000009999999996</v>
      </c>
      <c r="B187">
        <v>9.3470675140395585</v>
      </c>
      <c r="C187">
        <f t="shared" si="10"/>
        <v>-0.94706651403955888</v>
      </c>
      <c r="D187">
        <f t="shared" si="14"/>
        <v>1.1014749793394611</v>
      </c>
      <c r="E187">
        <f t="shared" si="11"/>
        <v>10.448542493379019</v>
      </c>
      <c r="F187">
        <f t="shared" si="12"/>
        <v>-2.0485414933790196</v>
      </c>
      <c r="H187">
        <f t="shared" si="13"/>
        <v>2.0485414933790196</v>
      </c>
    </row>
    <row r="188" spans="1:8" x14ac:dyDescent="0.25">
      <c r="A188">
        <v>7.45</v>
      </c>
      <c r="B188">
        <v>9.3157641617529183</v>
      </c>
      <c r="C188">
        <f t="shared" si="10"/>
        <v>-1.8657641617529181</v>
      </c>
      <c r="D188">
        <f t="shared" si="14"/>
        <v>-1.359005994760397</v>
      </c>
      <c r="E188">
        <f t="shared" si="11"/>
        <v>7.9567581669925218</v>
      </c>
      <c r="F188">
        <f t="shared" si="12"/>
        <v>-0.50675816699252163</v>
      </c>
      <c r="H188">
        <f t="shared" si="13"/>
        <v>0.50675816699252163</v>
      </c>
    </row>
    <row r="189" spans="1:8" x14ac:dyDescent="0.25">
      <c r="A189">
        <v>7.4937500000000004</v>
      </c>
      <c r="B189">
        <v>9.2865784096769222</v>
      </c>
      <c r="C189">
        <f t="shared" si="10"/>
        <v>-1.7928284096769218</v>
      </c>
      <c r="D189">
        <f t="shared" si="14"/>
        <v>-1.091267843045586</v>
      </c>
      <c r="E189">
        <f t="shared" si="11"/>
        <v>8.1953105666313366</v>
      </c>
      <c r="F189">
        <f t="shared" si="12"/>
        <v>-0.70156056663133626</v>
      </c>
      <c r="H189">
        <f t="shared" si="13"/>
        <v>0.70156056663133626</v>
      </c>
    </row>
    <row r="190" spans="1:8" x14ac:dyDescent="0.25">
      <c r="A190">
        <v>9.1625010000000007</v>
      </c>
      <c r="B190">
        <v>9.2595189061797889</v>
      </c>
      <c r="C190">
        <f t="shared" si="10"/>
        <v>-9.7017906179788227E-2</v>
      </c>
      <c r="D190">
        <f t="shared" si="14"/>
        <v>-1.0578243826595009</v>
      </c>
      <c r="E190">
        <f t="shared" si="11"/>
        <v>8.2016945235202883</v>
      </c>
      <c r="F190">
        <f t="shared" si="12"/>
        <v>0.9608064764797124</v>
      </c>
      <c r="H190">
        <f t="shared" si="13"/>
        <v>0.9608064764797124</v>
      </c>
    </row>
    <row r="191" spans="1:8" x14ac:dyDescent="0.25">
      <c r="A191">
        <v>9.8875019999999996</v>
      </c>
      <c r="B191">
        <v>9.2345936695763982</v>
      </c>
      <c r="C191">
        <f t="shared" si="10"/>
        <v>0.65290833042360141</v>
      </c>
      <c r="D191">
        <f t="shared" si="14"/>
        <v>0.22023656757947868</v>
      </c>
      <c r="E191">
        <f t="shared" si="11"/>
        <v>9.4548302371558766</v>
      </c>
      <c r="F191">
        <f t="shared" si="12"/>
        <v>0.43267176284412301</v>
      </c>
      <c r="H191">
        <f t="shared" si="13"/>
        <v>0.43267176284412301</v>
      </c>
    </row>
    <row r="192" spans="1:8" x14ac:dyDescent="0.25">
      <c r="A192">
        <v>8.6875009999999993</v>
      </c>
      <c r="B192">
        <v>9.2118100857522851</v>
      </c>
      <c r="C192">
        <f t="shared" si="10"/>
        <v>-0.52430908575228585</v>
      </c>
      <c r="D192">
        <f t="shared" si="14"/>
        <v>0.32193360439468083</v>
      </c>
      <c r="E192">
        <f t="shared" si="11"/>
        <v>9.5337436901469665</v>
      </c>
      <c r="F192">
        <f t="shared" si="12"/>
        <v>-0.84624269014696729</v>
      </c>
      <c r="H192">
        <f t="shared" si="13"/>
        <v>0.84624269014696729</v>
      </c>
    </row>
    <row r="193" spans="1:8" x14ac:dyDescent="0.25">
      <c r="A193">
        <v>10.9375</v>
      </c>
      <c r="B193">
        <v>9.1911749059750463</v>
      </c>
      <c r="C193">
        <f t="shared" si="10"/>
        <v>1.7463250940249537</v>
      </c>
      <c r="D193">
        <f t="shared" si="14"/>
        <v>-0.66744208965760121</v>
      </c>
      <c r="E193">
        <f t="shared" si="11"/>
        <v>8.5237328163174446</v>
      </c>
      <c r="F193">
        <f t="shared" si="12"/>
        <v>2.4137671836825554</v>
      </c>
      <c r="H193">
        <f t="shared" si="13"/>
        <v>2.4137671836825554</v>
      </c>
    </row>
    <row r="194" spans="1:8" x14ac:dyDescent="0.25">
      <c r="A194">
        <v>9.2437520000000006</v>
      </c>
      <c r="B194">
        <v>9.1726942448937958</v>
      </c>
      <c r="C194">
        <f t="shared" si="10"/>
        <v>7.1057755106204823E-2</v>
      </c>
      <c r="D194">
        <f t="shared" si="14"/>
        <v>1.7419746554771722</v>
      </c>
      <c r="E194">
        <f t="shared" si="11"/>
        <v>10.914668900370968</v>
      </c>
      <c r="F194">
        <f t="shared" si="12"/>
        <v>-1.6709169003709672</v>
      </c>
      <c r="H194">
        <f t="shared" si="13"/>
        <v>1.6709169003709672</v>
      </c>
    </row>
    <row r="195" spans="1:8" x14ac:dyDescent="0.25">
      <c r="A195">
        <v>9.7187509999999993</v>
      </c>
      <c r="B195">
        <v>9.1563735787272549</v>
      </c>
      <c r="C195">
        <f t="shared" ref="C195:C258" si="15">A195-B195</f>
        <v>0.56237742127274437</v>
      </c>
      <c r="D195">
        <f t="shared" si="14"/>
        <v>-0.57649051960929865</v>
      </c>
      <c r="E195">
        <f t="shared" si="11"/>
        <v>8.5798830591179556</v>
      </c>
      <c r="F195">
        <f t="shared" si="12"/>
        <v>1.1388679408820437</v>
      </c>
      <c r="H195">
        <f t="shared" si="13"/>
        <v>1.1388679408820437</v>
      </c>
    </row>
    <row r="196" spans="1:8" x14ac:dyDescent="0.25">
      <c r="A196">
        <v>12.43125</v>
      </c>
      <c r="B196">
        <v>9.142217743641039</v>
      </c>
      <c r="C196">
        <f t="shared" si="15"/>
        <v>3.2890322563589613</v>
      </c>
      <c r="D196">
        <f t="shared" si="14"/>
        <v>0.70845859902399133</v>
      </c>
      <c r="E196">
        <f t="shared" ref="E196:E259" si="16">B196+D196</f>
        <v>9.8506763426650306</v>
      </c>
      <c r="F196">
        <f t="shared" ref="F196:F259" si="17">A196-E196</f>
        <v>2.5805736573349698</v>
      </c>
      <c r="H196">
        <f t="shared" ref="H196:H259" si="18">ABS(F196)</f>
        <v>2.5805736573349698</v>
      </c>
    </row>
    <row r="197" spans="1:8" x14ac:dyDescent="0.25">
      <c r="A197">
        <v>11.05625</v>
      </c>
      <c r="B197">
        <v>9.1302309343145893</v>
      </c>
      <c r="C197">
        <f t="shared" si="15"/>
        <v>1.926019065685411</v>
      </c>
      <c r="D197">
        <f t="shared" si="14"/>
        <v>2.614521807252344</v>
      </c>
      <c r="E197">
        <f t="shared" si="16"/>
        <v>11.744752741566934</v>
      </c>
      <c r="F197">
        <f t="shared" si="17"/>
        <v>-0.68850274156693381</v>
      </c>
      <c r="H197">
        <f t="shared" si="18"/>
        <v>0.68850274156693381</v>
      </c>
    </row>
    <row r="198" spans="1:8" x14ac:dyDescent="0.25">
      <c r="A198">
        <v>10.112500000000001</v>
      </c>
      <c r="B198">
        <v>9.1204167026982113</v>
      </c>
      <c r="C198">
        <f t="shared" si="15"/>
        <v>0.99208329730178946</v>
      </c>
      <c r="D198">
        <f t="shared" ref="D198:D261" si="19">$J$1*C197+$J$2*C196+$J$3*C195</f>
        <v>0.65793843764289817</v>
      </c>
      <c r="E198">
        <f t="shared" si="16"/>
        <v>9.7783551403411089</v>
      </c>
      <c r="F198">
        <f t="shared" si="17"/>
        <v>0.33414485965889185</v>
      </c>
      <c r="H198">
        <f t="shared" si="18"/>
        <v>0.33414485965889185</v>
      </c>
    </row>
    <row r="199" spans="1:8" x14ac:dyDescent="0.25">
      <c r="A199">
        <v>9.862501</v>
      </c>
      <c r="B199">
        <v>9.1127779569605352</v>
      </c>
      <c r="C199">
        <f t="shared" si="15"/>
        <v>0.7497230430394648</v>
      </c>
      <c r="D199">
        <f t="shared" si="19"/>
        <v>0.70275101778442806</v>
      </c>
      <c r="E199">
        <f t="shared" si="16"/>
        <v>9.8155289747449626</v>
      </c>
      <c r="F199">
        <f t="shared" si="17"/>
        <v>4.6972025255037408E-2</v>
      </c>
      <c r="H199">
        <f t="shared" si="18"/>
        <v>4.6972025255037408E-2</v>
      </c>
    </row>
    <row r="200" spans="1:8" x14ac:dyDescent="0.25">
      <c r="A200">
        <v>9.8562510000000003</v>
      </c>
      <c r="B200">
        <v>9.1073169606267861</v>
      </c>
      <c r="C200">
        <f t="shared" si="15"/>
        <v>0.74893403937321423</v>
      </c>
      <c r="D200">
        <f t="shared" si="19"/>
        <v>0.59794580028916555</v>
      </c>
      <c r="E200">
        <f t="shared" si="16"/>
        <v>9.7052627609159519</v>
      </c>
      <c r="F200">
        <f t="shared" si="17"/>
        <v>0.15098823908404846</v>
      </c>
      <c r="H200">
        <f t="shared" si="18"/>
        <v>0.15098823908404846</v>
      </c>
    </row>
    <row r="201" spans="1:8" x14ac:dyDescent="0.25">
      <c r="A201">
        <v>10.612500000000001</v>
      </c>
      <c r="B201">
        <v>9.1040353319080296</v>
      </c>
      <c r="C201">
        <f t="shared" si="15"/>
        <v>1.5084646680919711</v>
      </c>
      <c r="D201">
        <f t="shared" si="19"/>
        <v>0.53855474756639832</v>
      </c>
      <c r="E201">
        <f t="shared" si="16"/>
        <v>9.6425900794744273</v>
      </c>
      <c r="F201">
        <f t="shared" si="17"/>
        <v>0.96990992052557345</v>
      </c>
      <c r="H201">
        <f t="shared" si="18"/>
        <v>0.96990992052557345</v>
      </c>
    </row>
    <row r="202" spans="1:8" x14ac:dyDescent="0.25">
      <c r="A202">
        <v>8.3875010000000003</v>
      </c>
      <c r="B202">
        <v>9.1029340432216834</v>
      </c>
      <c r="C202">
        <f t="shared" si="15"/>
        <v>-0.71543304322168311</v>
      </c>
      <c r="D202">
        <f t="shared" si="19"/>
        <v>1.1464175781677388</v>
      </c>
      <c r="E202">
        <f t="shared" si="16"/>
        <v>10.249351621389422</v>
      </c>
      <c r="F202">
        <f t="shared" si="17"/>
        <v>-1.8618506213894221</v>
      </c>
      <c r="H202">
        <f t="shared" si="18"/>
        <v>1.8618506213894221</v>
      </c>
    </row>
    <row r="203" spans="1:8" x14ac:dyDescent="0.25">
      <c r="A203">
        <v>7.9187510000000003</v>
      </c>
      <c r="B203">
        <v>9.1040134209033532</v>
      </c>
      <c r="C203">
        <f t="shared" si="15"/>
        <v>-1.1852624209033529</v>
      </c>
      <c r="D203">
        <f t="shared" si="19"/>
        <v>-0.9800309702961455</v>
      </c>
      <c r="E203">
        <f t="shared" si="16"/>
        <v>8.1239824506072082</v>
      </c>
      <c r="F203">
        <f t="shared" si="17"/>
        <v>-0.20523145060720793</v>
      </c>
      <c r="H203">
        <f t="shared" si="18"/>
        <v>0.20523145060720793</v>
      </c>
    </row>
    <row r="204" spans="1:8" x14ac:dyDescent="0.25">
      <c r="A204">
        <v>7.3687509999999996</v>
      </c>
      <c r="B204">
        <v>9.107273145110133</v>
      </c>
      <c r="C204">
        <f t="shared" si="15"/>
        <v>-1.7385221451101334</v>
      </c>
      <c r="D204">
        <f t="shared" si="19"/>
        <v>-0.55361710056734781</v>
      </c>
      <c r="E204">
        <f t="shared" si="16"/>
        <v>8.5536560445427856</v>
      </c>
      <c r="F204">
        <f t="shared" si="17"/>
        <v>-1.184905044542786</v>
      </c>
      <c r="H204">
        <f t="shared" si="18"/>
        <v>1.184905044542786</v>
      </c>
    </row>
    <row r="205" spans="1:8" x14ac:dyDescent="0.25">
      <c r="A205">
        <v>7.4249999999999998</v>
      </c>
      <c r="B205">
        <v>9.1127122499153934</v>
      </c>
      <c r="C205">
        <f t="shared" si="15"/>
        <v>-1.6877122499153936</v>
      </c>
      <c r="D205">
        <f t="shared" si="19"/>
        <v>-1.1962439572812216</v>
      </c>
      <c r="E205">
        <f t="shared" si="16"/>
        <v>7.9164682926341721</v>
      </c>
      <c r="F205">
        <f t="shared" si="17"/>
        <v>-0.49146829263417224</v>
      </c>
      <c r="H205">
        <f t="shared" si="18"/>
        <v>0.49146829263417224</v>
      </c>
    </row>
    <row r="206" spans="1:8" x14ac:dyDescent="0.25">
      <c r="A206">
        <v>8.2000010000000003</v>
      </c>
      <c r="B206">
        <v>9.1203291235949919</v>
      </c>
      <c r="C206">
        <f t="shared" si="15"/>
        <v>-0.92032812359499161</v>
      </c>
      <c r="D206">
        <f t="shared" si="19"/>
        <v>-1.0444399785355323</v>
      </c>
      <c r="E206">
        <f t="shared" si="16"/>
        <v>8.0758891450594597</v>
      </c>
      <c r="F206">
        <f t="shared" si="17"/>
        <v>0.12411185494054067</v>
      </c>
      <c r="H206">
        <f t="shared" si="18"/>
        <v>0.12411185494054067</v>
      </c>
    </row>
    <row r="207" spans="1:8" x14ac:dyDescent="0.25">
      <c r="A207">
        <v>8.143751</v>
      </c>
      <c r="B207">
        <v>9.1301215091048746</v>
      </c>
      <c r="C207">
        <f t="shared" si="15"/>
        <v>-0.98637050910487467</v>
      </c>
      <c r="D207">
        <f t="shared" si="19"/>
        <v>-0.49189855628824369</v>
      </c>
      <c r="E207">
        <f t="shared" si="16"/>
        <v>8.6382229528166317</v>
      </c>
      <c r="F207">
        <f t="shared" si="17"/>
        <v>-0.4944719528166317</v>
      </c>
      <c r="H207">
        <f t="shared" si="18"/>
        <v>0.4944719528166317</v>
      </c>
    </row>
    <row r="208" spans="1:8" x14ac:dyDescent="0.25">
      <c r="A208">
        <v>9.3937519999999992</v>
      </c>
      <c r="B208">
        <v>9.1420865047498783</v>
      </c>
      <c r="C208">
        <f t="shared" si="15"/>
        <v>0.25166549525012094</v>
      </c>
      <c r="D208">
        <f t="shared" si="19"/>
        <v>-0.78648680348391209</v>
      </c>
      <c r="E208">
        <f t="shared" si="16"/>
        <v>8.355599701265966</v>
      </c>
      <c r="F208">
        <f t="shared" si="17"/>
        <v>1.0381522987340333</v>
      </c>
      <c r="H208">
        <f t="shared" si="18"/>
        <v>1.0381522987340333</v>
      </c>
    </row>
    <row r="209" spans="1:8" x14ac:dyDescent="0.25">
      <c r="A209">
        <v>8.1500009999999996</v>
      </c>
      <c r="B209">
        <v>9.1562205650435651</v>
      </c>
      <c r="C209">
        <f t="shared" si="15"/>
        <v>-1.0062195650435655</v>
      </c>
      <c r="D209">
        <f t="shared" si="19"/>
        <v>0.3949290916914574</v>
      </c>
      <c r="E209">
        <f t="shared" si="16"/>
        <v>9.5511496567350225</v>
      </c>
      <c r="F209">
        <f t="shared" si="17"/>
        <v>-1.4011486567350229</v>
      </c>
      <c r="H209">
        <f t="shared" si="18"/>
        <v>1.4011486567350229</v>
      </c>
    </row>
    <row r="210" spans="1:8" x14ac:dyDescent="0.25">
      <c r="A210">
        <v>7.1937499999999996</v>
      </c>
      <c r="B210">
        <v>9.1725195017588312</v>
      </c>
      <c r="C210">
        <f t="shared" si="15"/>
        <v>-1.9787695017588316</v>
      </c>
      <c r="D210">
        <f t="shared" si="19"/>
        <v>-1.0766833394728186</v>
      </c>
      <c r="E210">
        <f t="shared" si="16"/>
        <v>8.0958361622860124</v>
      </c>
      <c r="F210">
        <f t="shared" si="17"/>
        <v>-0.90208616228601279</v>
      </c>
      <c r="H210">
        <f t="shared" si="18"/>
        <v>0.90208616228601279</v>
      </c>
    </row>
    <row r="211" spans="1:8" x14ac:dyDescent="0.25">
      <c r="A211">
        <v>7.581251</v>
      </c>
      <c r="B211">
        <v>9.1909784851689729</v>
      </c>
      <c r="C211">
        <f t="shared" si="15"/>
        <v>-1.6097274851689729</v>
      </c>
      <c r="D211">
        <f t="shared" si="19"/>
        <v>-1.3157633168235128</v>
      </c>
      <c r="E211">
        <f t="shared" si="16"/>
        <v>7.8752151683454601</v>
      </c>
      <c r="F211">
        <f t="shared" si="17"/>
        <v>-0.29396416834546013</v>
      </c>
      <c r="H211">
        <f t="shared" si="18"/>
        <v>0.29396416834546013</v>
      </c>
    </row>
    <row r="212" spans="1:8" x14ac:dyDescent="0.25">
      <c r="A212">
        <v>10.8</v>
      </c>
      <c r="B212">
        <v>9.2115920454788238</v>
      </c>
      <c r="C212">
        <f t="shared" si="15"/>
        <v>1.5884079545211769</v>
      </c>
      <c r="D212">
        <f t="shared" si="19"/>
        <v>-0.87521258818286007</v>
      </c>
      <c r="E212">
        <f t="shared" si="16"/>
        <v>8.3363794572959637</v>
      </c>
      <c r="F212">
        <f t="shared" si="17"/>
        <v>2.463620542704037</v>
      </c>
      <c r="H212">
        <f t="shared" si="18"/>
        <v>2.463620542704037</v>
      </c>
    </row>
    <row r="213" spans="1:8" x14ac:dyDescent="0.25">
      <c r="A213">
        <v>12.61875</v>
      </c>
      <c r="B213">
        <v>9.2343540744455872</v>
      </c>
      <c r="C213">
        <f t="shared" si="15"/>
        <v>3.3843959255544132</v>
      </c>
      <c r="D213">
        <f t="shared" si="19"/>
        <v>1.5718875545843527</v>
      </c>
      <c r="E213">
        <f t="shared" si="16"/>
        <v>10.806241629029939</v>
      </c>
      <c r="F213">
        <f t="shared" si="17"/>
        <v>1.8125083709700611</v>
      </c>
      <c r="H213">
        <f t="shared" si="18"/>
        <v>1.8125083709700611</v>
      </c>
    </row>
    <row r="214" spans="1:8" x14ac:dyDescent="0.25">
      <c r="A214">
        <v>9.7250019999999999</v>
      </c>
      <c r="B214">
        <v>9.2592578271888399</v>
      </c>
      <c r="C214">
        <f t="shared" si="15"/>
        <v>0.46574417281115998</v>
      </c>
      <c r="D214">
        <f t="shared" si="19"/>
        <v>2.120645973976238</v>
      </c>
      <c r="E214">
        <f t="shared" si="16"/>
        <v>11.379903801165078</v>
      </c>
      <c r="F214">
        <f t="shared" si="17"/>
        <v>-1.654901801165078</v>
      </c>
      <c r="H214">
        <f t="shared" si="18"/>
        <v>1.654901801165078</v>
      </c>
    </row>
    <row r="215" spans="1:8" x14ac:dyDescent="0.25">
      <c r="A215">
        <v>10.356249999999999</v>
      </c>
      <c r="B215">
        <v>9.2862959241891705</v>
      </c>
      <c r="C215">
        <f t="shared" si="15"/>
        <v>1.0699540758108288</v>
      </c>
      <c r="D215">
        <f t="shared" si="19"/>
        <v>-0.45901035446782823</v>
      </c>
      <c r="E215">
        <f t="shared" si="16"/>
        <v>8.8272855697213419</v>
      </c>
      <c r="F215">
        <f t="shared" si="17"/>
        <v>1.5289644302786574</v>
      </c>
      <c r="H215">
        <f t="shared" si="18"/>
        <v>1.5289644302786574</v>
      </c>
    </row>
    <row r="216" spans="1:8" x14ac:dyDescent="0.25">
      <c r="A216">
        <v>9.925001</v>
      </c>
      <c r="B216">
        <v>9.3154603534749132</v>
      </c>
      <c r="C216">
        <f t="shared" si="15"/>
        <v>0.60954064652508677</v>
      </c>
      <c r="D216">
        <f t="shared" si="19"/>
        <v>1.2509192090844086</v>
      </c>
      <c r="E216">
        <f t="shared" si="16"/>
        <v>10.566379562559321</v>
      </c>
      <c r="F216">
        <f t="shared" si="17"/>
        <v>-0.64137856255932135</v>
      </c>
      <c r="H216">
        <f t="shared" si="18"/>
        <v>0.64137856255932135</v>
      </c>
    </row>
    <row r="217" spans="1:8" x14ac:dyDescent="0.25">
      <c r="A217">
        <v>10.050000000000001</v>
      </c>
      <c r="B217">
        <v>9.3467424729962474</v>
      </c>
      <c r="C217">
        <f t="shared" si="15"/>
        <v>0.70325752700375332</v>
      </c>
      <c r="D217">
        <f t="shared" si="19"/>
        <v>0.24094806288331616</v>
      </c>
      <c r="E217">
        <f t="shared" si="16"/>
        <v>9.5876905358795632</v>
      </c>
      <c r="F217">
        <f t="shared" si="17"/>
        <v>0.4623094641204375</v>
      </c>
      <c r="H217">
        <f t="shared" si="18"/>
        <v>0.4623094641204375</v>
      </c>
    </row>
    <row r="218" spans="1:8" x14ac:dyDescent="0.25">
      <c r="A218">
        <v>10.425000000000001</v>
      </c>
      <c r="B218">
        <v>9.3801330131860379</v>
      </c>
      <c r="C218">
        <f t="shared" si="15"/>
        <v>1.0448669868139628</v>
      </c>
      <c r="D218">
        <f t="shared" si="19"/>
        <v>0.55621842749674433</v>
      </c>
      <c r="E218">
        <f t="shared" si="16"/>
        <v>9.9363514406827829</v>
      </c>
      <c r="F218">
        <f t="shared" si="17"/>
        <v>0.48864855931721785</v>
      </c>
      <c r="H218">
        <f t="shared" si="18"/>
        <v>0.48864855931721785</v>
      </c>
    </row>
    <row r="219" spans="1:8" x14ac:dyDescent="0.25">
      <c r="A219">
        <v>10.15</v>
      </c>
      <c r="B219">
        <v>9.4156220797065977</v>
      </c>
      <c r="C219">
        <f t="shared" si="15"/>
        <v>0.73437792029340265</v>
      </c>
      <c r="D219">
        <f t="shared" si="19"/>
        <v>0.74810359058391251</v>
      </c>
      <c r="E219">
        <f t="shared" si="16"/>
        <v>10.163725670290511</v>
      </c>
      <c r="F219">
        <f t="shared" si="17"/>
        <v>-1.3725670290510195E-2</v>
      </c>
      <c r="H219">
        <f t="shared" si="18"/>
        <v>1.3725670290510195E-2</v>
      </c>
    </row>
    <row r="220" spans="1:8" x14ac:dyDescent="0.25">
      <c r="A220">
        <v>9.8687520000000006</v>
      </c>
      <c r="B220">
        <v>9.4531991563816007</v>
      </c>
      <c r="C220">
        <f t="shared" si="15"/>
        <v>0.41555284361839995</v>
      </c>
      <c r="D220">
        <f t="shared" si="19"/>
        <v>0.38938142934440523</v>
      </c>
      <c r="E220">
        <f t="shared" si="16"/>
        <v>9.8425805857260062</v>
      </c>
      <c r="F220">
        <f t="shared" si="17"/>
        <v>2.6171414273994387E-2</v>
      </c>
      <c r="H220">
        <f t="shared" si="18"/>
        <v>2.6171414273994387E-2</v>
      </c>
    </row>
    <row r="221" spans="1:8" x14ac:dyDescent="0.25">
      <c r="A221">
        <v>7.175001</v>
      </c>
      <c r="B221">
        <v>9.49285310831225</v>
      </c>
      <c r="C221">
        <f t="shared" si="15"/>
        <v>-2.3178521083122501</v>
      </c>
      <c r="D221">
        <f t="shared" si="19"/>
        <v>0.26894710514276321</v>
      </c>
      <c r="E221">
        <f t="shared" si="16"/>
        <v>9.7618002134550128</v>
      </c>
      <c r="F221">
        <f t="shared" si="17"/>
        <v>-2.5867992134550128</v>
      </c>
      <c r="H221">
        <f t="shared" si="18"/>
        <v>2.5867992134550128</v>
      </c>
    </row>
    <row r="222" spans="1:8" x14ac:dyDescent="0.25">
      <c r="A222">
        <v>11.831250000000001</v>
      </c>
      <c r="B222">
        <v>9.5345721851767831</v>
      </c>
      <c r="C222">
        <f t="shared" si="15"/>
        <v>2.2966778148232176</v>
      </c>
      <c r="D222">
        <f t="shared" si="19"/>
        <v>-1.9882687776907058</v>
      </c>
      <c r="E222">
        <f t="shared" si="16"/>
        <v>7.5463034074860769</v>
      </c>
      <c r="F222">
        <f t="shared" si="17"/>
        <v>4.2849465925139238</v>
      </c>
      <c r="H222">
        <f t="shared" si="18"/>
        <v>4.2849465925139238</v>
      </c>
    </row>
    <row r="223" spans="1:8" x14ac:dyDescent="0.25">
      <c r="A223">
        <v>10.275</v>
      </c>
      <c r="B223">
        <v>9.5783440247123561</v>
      </c>
      <c r="C223">
        <f t="shared" si="15"/>
        <v>0.69665597528764422</v>
      </c>
      <c r="D223">
        <f t="shared" si="19"/>
        <v>2.748414879617723</v>
      </c>
      <c r="E223">
        <f t="shared" si="16"/>
        <v>12.326758904330079</v>
      </c>
      <c r="F223">
        <f t="shared" si="17"/>
        <v>-2.0517589043300788</v>
      </c>
      <c r="H223">
        <f t="shared" si="18"/>
        <v>2.0517589043300788</v>
      </c>
    </row>
    <row r="224" spans="1:8" x14ac:dyDescent="0.25">
      <c r="A224">
        <v>8.6062510000000003</v>
      </c>
      <c r="B224">
        <v>9.6241556563782389</v>
      </c>
      <c r="C224">
        <f t="shared" si="15"/>
        <v>-1.0179046563782386</v>
      </c>
      <c r="D224">
        <f t="shared" si="19"/>
        <v>-0.48539381955970606</v>
      </c>
      <c r="E224">
        <f t="shared" si="16"/>
        <v>9.1387618368185333</v>
      </c>
      <c r="F224">
        <f t="shared" si="17"/>
        <v>-0.53251083681853295</v>
      </c>
      <c r="H224">
        <f t="shared" si="18"/>
        <v>0.53251083681853295</v>
      </c>
    </row>
    <row r="225" spans="1:8" x14ac:dyDescent="0.25">
      <c r="A225">
        <v>8.3125009999999993</v>
      </c>
      <c r="B225">
        <v>9.6719935051992749</v>
      </c>
      <c r="C225">
        <f t="shared" si="15"/>
        <v>-1.3594925051992757</v>
      </c>
      <c r="D225">
        <f t="shared" si="19"/>
        <v>-0.74963102461889219</v>
      </c>
      <c r="E225">
        <f t="shared" si="16"/>
        <v>8.9223624805803823</v>
      </c>
      <c r="F225">
        <f t="shared" si="17"/>
        <v>-0.60986148058038303</v>
      </c>
      <c r="H225">
        <f t="shared" si="18"/>
        <v>0.60986148058038303</v>
      </c>
    </row>
    <row r="226" spans="1:8" x14ac:dyDescent="0.25">
      <c r="A226">
        <v>8.1187509999999996</v>
      </c>
      <c r="B226">
        <v>9.7218433957884329</v>
      </c>
      <c r="C226">
        <f t="shared" si="15"/>
        <v>-1.6030923957884333</v>
      </c>
      <c r="D226">
        <f t="shared" si="19"/>
        <v>-0.72272289361168074</v>
      </c>
      <c r="E226">
        <f t="shared" si="16"/>
        <v>8.9991205021767513</v>
      </c>
      <c r="F226">
        <f t="shared" si="17"/>
        <v>-0.88036950217675169</v>
      </c>
      <c r="H226">
        <f t="shared" si="18"/>
        <v>0.88036950217675169</v>
      </c>
    </row>
    <row r="227" spans="1:8" x14ac:dyDescent="0.25">
      <c r="A227">
        <v>8.1500009999999996</v>
      </c>
      <c r="B227">
        <v>9.7736905565472796</v>
      </c>
      <c r="C227">
        <f t="shared" si="15"/>
        <v>-1.62368955654728</v>
      </c>
      <c r="D227">
        <f t="shared" si="19"/>
        <v>-1.0699046461539405</v>
      </c>
      <c r="E227">
        <f t="shared" si="16"/>
        <v>8.7037859103933393</v>
      </c>
      <c r="F227">
        <f t="shared" si="17"/>
        <v>-0.55378491039333966</v>
      </c>
      <c r="H227">
        <f t="shared" si="18"/>
        <v>0.55378491039333966</v>
      </c>
    </row>
    <row r="228" spans="1:8" x14ac:dyDescent="0.25">
      <c r="A228">
        <v>8.7687519999999992</v>
      </c>
      <c r="B228">
        <v>9.8275196240431324</v>
      </c>
      <c r="C228">
        <f t="shared" si="15"/>
        <v>-1.0587676240431332</v>
      </c>
      <c r="D228">
        <f t="shared" si="19"/>
        <v>-1.059125702253191</v>
      </c>
      <c r="E228">
        <f t="shared" si="16"/>
        <v>8.7683939217899418</v>
      </c>
      <c r="F228">
        <f t="shared" si="17"/>
        <v>3.5807821005739982E-4</v>
      </c>
      <c r="H228">
        <f t="shared" si="18"/>
        <v>3.5807821005739982E-4</v>
      </c>
    </row>
    <row r="229" spans="1:8" x14ac:dyDescent="0.25">
      <c r="A229">
        <v>7.4</v>
      </c>
      <c r="B229">
        <v>9.8833146475615656</v>
      </c>
      <c r="C229">
        <f t="shared" si="15"/>
        <v>-2.4833146475615653</v>
      </c>
      <c r="D229">
        <f t="shared" si="19"/>
        <v>-0.60984722875489406</v>
      </c>
      <c r="E229">
        <f t="shared" si="16"/>
        <v>9.2734674188066712</v>
      </c>
      <c r="F229">
        <f t="shared" si="17"/>
        <v>-1.8734674188066709</v>
      </c>
      <c r="H229">
        <f t="shared" si="18"/>
        <v>1.8734674188066709</v>
      </c>
    </row>
    <row r="230" spans="1:8" x14ac:dyDescent="0.25">
      <c r="A230">
        <v>7.581251</v>
      </c>
      <c r="B230">
        <v>9.9410590938329531</v>
      </c>
      <c r="C230">
        <f t="shared" si="15"/>
        <v>-2.3598080938329531</v>
      </c>
      <c r="D230">
        <f t="shared" si="19"/>
        <v>-2.0000484478065461</v>
      </c>
      <c r="E230">
        <f t="shared" si="16"/>
        <v>7.9410106460264069</v>
      </c>
      <c r="F230">
        <f t="shared" si="17"/>
        <v>-0.35975964602640698</v>
      </c>
      <c r="H230">
        <f t="shared" si="18"/>
        <v>0.35975964602640698</v>
      </c>
    </row>
    <row r="231" spans="1:8" x14ac:dyDescent="0.25">
      <c r="A231">
        <v>8.9625009999999996</v>
      </c>
      <c r="B231">
        <v>10.000735851931639</v>
      </c>
      <c r="C231">
        <f t="shared" si="15"/>
        <v>-1.0382348519316391</v>
      </c>
      <c r="D231">
        <f t="shared" si="19"/>
        <v>-1.356100474638686</v>
      </c>
      <c r="E231">
        <f t="shared" si="16"/>
        <v>8.6446353772929534</v>
      </c>
      <c r="F231">
        <f t="shared" si="17"/>
        <v>0.31786562270704621</v>
      </c>
      <c r="H231">
        <f t="shared" si="18"/>
        <v>0.31786562270704621</v>
      </c>
    </row>
    <row r="232" spans="1:8" x14ac:dyDescent="0.25">
      <c r="A232">
        <v>11.668749999999999</v>
      </c>
      <c r="B232">
        <v>10.062327238346267</v>
      </c>
      <c r="C232">
        <f t="shared" si="15"/>
        <v>1.6064227616537323</v>
      </c>
      <c r="D232">
        <f t="shared" si="19"/>
        <v>-0.48499143996184235</v>
      </c>
      <c r="E232">
        <f t="shared" si="16"/>
        <v>9.5773357983844249</v>
      </c>
      <c r="F232">
        <f t="shared" si="17"/>
        <v>2.0914142016155743</v>
      </c>
      <c r="H232">
        <f t="shared" si="18"/>
        <v>2.0914142016155743</v>
      </c>
    </row>
    <row r="233" spans="1:8" x14ac:dyDescent="0.25">
      <c r="A233">
        <v>12.80625</v>
      </c>
      <c r="B233">
        <v>10.125815002219795</v>
      </c>
      <c r="C233">
        <f t="shared" si="15"/>
        <v>2.6804349977802051</v>
      </c>
      <c r="D233">
        <f t="shared" si="19"/>
        <v>1.3481914645215318</v>
      </c>
      <c r="E233">
        <f t="shared" si="16"/>
        <v>11.474006466741328</v>
      </c>
      <c r="F233">
        <f t="shared" si="17"/>
        <v>1.3322435332586728</v>
      </c>
      <c r="H233">
        <f t="shared" si="18"/>
        <v>1.3322435332586728</v>
      </c>
    </row>
    <row r="234" spans="1:8" x14ac:dyDescent="0.25">
      <c r="A234">
        <v>13.93125</v>
      </c>
      <c r="B234">
        <v>10.191180330757605</v>
      </c>
      <c r="C234">
        <f t="shared" si="15"/>
        <v>3.7400696692423949</v>
      </c>
      <c r="D234">
        <f t="shared" si="19"/>
        <v>1.6023903775911572</v>
      </c>
      <c r="E234">
        <f t="shared" si="16"/>
        <v>11.793570708348764</v>
      </c>
      <c r="F234">
        <f t="shared" si="17"/>
        <v>2.1376792916512368</v>
      </c>
      <c r="H234">
        <f t="shared" si="18"/>
        <v>2.1376792916512368</v>
      </c>
    </row>
    <row r="235" spans="1:8" x14ac:dyDescent="0.25">
      <c r="A235">
        <v>13.34375</v>
      </c>
      <c r="B235">
        <v>10.258403854802157</v>
      </c>
      <c r="C235">
        <f t="shared" si="15"/>
        <v>3.0853461451978426</v>
      </c>
      <c r="D235">
        <f t="shared" si="19"/>
        <v>2.5414258436701105</v>
      </c>
      <c r="E235">
        <f t="shared" si="16"/>
        <v>12.799829698472267</v>
      </c>
      <c r="F235">
        <f t="shared" si="17"/>
        <v>0.54392030152773252</v>
      </c>
      <c r="H235">
        <f t="shared" si="18"/>
        <v>0.54392030152773252</v>
      </c>
    </row>
    <row r="236" spans="1:8" x14ac:dyDescent="0.25">
      <c r="A236">
        <v>13.231249999999999</v>
      </c>
      <c r="B236">
        <v>10.327465654572467</v>
      </c>
      <c r="C236">
        <f t="shared" si="15"/>
        <v>2.9037843454275318</v>
      </c>
      <c r="D236">
        <f t="shared" si="19"/>
        <v>1.8042252567741457</v>
      </c>
      <c r="E236">
        <f t="shared" si="16"/>
        <v>12.131690911346613</v>
      </c>
      <c r="F236">
        <f t="shared" si="17"/>
        <v>1.0995590886533861</v>
      </c>
      <c r="H236">
        <f t="shared" si="18"/>
        <v>1.0995590886533861</v>
      </c>
    </row>
    <row r="237" spans="1:8" x14ac:dyDescent="0.25">
      <c r="A237">
        <v>10.375</v>
      </c>
      <c r="B237">
        <v>10.398345265566794</v>
      </c>
      <c r="C237">
        <f t="shared" si="15"/>
        <v>-2.3345265566794282E-2</v>
      </c>
      <c r="D237">
        <f t="shared" si="19"/>
        <v>2.0152974967503146</v>
      </c>
      <c r="E237">
        <f t="shared" si="16"/>
        <v>12.413642762317108</v>
      </c>
      <c r="F237">
        <f t="shared" si="17"/>
        <v>-2.0386427623171084</v>
      </c>
      <c r="H237">
        <f t="shared" si="18"/>
        <v>2.0386427623171084</v>
      </c>
    </row>
    <row r="238" spans="1:8" x14ac:dyDescent="0.25">
      <c r="A238">
        <v>8.2000010000000003</v>
      </c>
      <c r="B238">
        <v>10.471021684626692</v>
      </c>
      <c r="C238">
        <f t="shared" si="15"/>
        <v>-2.2710206846266914</v>
      </c>
      <c r="D238">
        <f t="shared" si="19"/>
        <v>-0.50023866959405261</v>
      </c>
      <c r="E238">
        <f t="shared" si="16"/>
        <v>9.9707830150326391</v>
      </c>
      <c r="F238">
        <f t="shared" si="17"/>
        <v>-1.7707820150326388</v>
      </c>
      <c r="H238">
        <f t="shared" si="18"/>
        <v>1.7707820150326388</v>
      </c>
    </row>
    <row r="239" spans="1:8" x14ac:dyDescent="0.25">
      <c r="A239">
        <v>8.112501</v>
      </c>
      <c r="B239">
        <v>10.545473376160704</v>
      </c>
      <c r="C239">
        <f t="shared" si="15"/>
        <v>-2.4329723761607038</v>
      </c>
      <c r="D239">
        <f t="shared" si="19"/>
        <v>-1.4909163920707236</v>
      </c>
      <c r="E239">
        <f t="shared" si="16"/>
        <v>9.0545569840899809</v>
      </c>
      <c r="F239">
        <f t="shared" si="17"/>
        <v>-0.94205598408998092</v>
      </c>
      <c r="H239">
        <f t="shared" si="18"/>
        <v>0.94205598408998092</v>
      </c>
    </row>
    <row r="240" spans="1:8" x14ac:dyDescent="0.25">
      <c r="A240">
        <v>8.5000009999999993</v>
      </c>
      <c r="B240">
        <v>10.621678278525833</v>
      </c>
      <c r="C240">
        <f t="shared" si="15"/>
        <v>-2.1216772785258335</v>
      </c>
      <c r="D240">
        <f t="shared" si="19"/>
        <v>-1.3348488233971809</v>
      </c>
      <c r="E240">
        <f t="shared" si="16"/>
        <v>9.2868294551286521</v>
      </c>
      <c r="F240">
        <f t="shared" si="17"/>
        <v>-0.78682845512865285</v>
      </c>
      <c r="H240">
        <f t="shared" si="18"/>
        <v>0.78682845512865285</v>
      </c>
    </row>
    <row r="241" spans="1:8" x14ac:dyDescent="0.25">
      <c r="A241">
        <v>13.09375</v>
      </c>
      <c r="B241">
        <v>10.699613810564868</v>
      </c>
      <c r="C241">
        <f t="shared" si="15"/>
        <v>2.3941361894351321</v>
      </c>
      <c r="D241">
        <f t="shared" si="19"/>
        <v>-1.3477538649891925</v>
      </c>
      <c r="E241">
        <f t="shared" si="16"/>
        <v>9.3518599455756757</v>
      </c>
      <c r="F241">
        <f t="shared" si="17"/>
        <v>3.7418900544243243</v>
      </c>
      <c r="H241">
        <f t="shared" si="18"/>
        <v>3.7418900544243243</v>
      </c>
    </row>
    <row r="242" spans="1:8" x14ac:dyDescent="0.25">
      <c r="A242">
        <v>13.30625</v>
      </c>
      <c r="B242">
        <v>10.779256878297685</v>
      </c>
      <c r="C242">
        <f t="shared" si="15"/>
        <v>2.5269931217023149</v>
      </c>
      <c r="D242">
        <f t="shared" si="19"/>
        <v>2.351840337041939</v>
      </c>
      <c r="E242">
        <f t="shared" si="16"/>
        <v>13.131097215339624</v>
      </c>
      <c r="F242">
        <f t="shared" si="17"/>
        <v>0.17515278466037643</v>
      </c>
      <c r="H242">
        <f t="shared" si="18"/>
        <v>0.17515278466037643</v>
      </c>
    </row>
    <row r="243" spans="1:8" x14ac:dyDescent="0.25">
      <c r="A243">
        <v>11.8</v>
      </c>
      <c r="B243">
        <v>10.860583881764473</v>
      </c>
      <c r="C243">
        <f t="shared" si="15"/>
        <v>0.93941611823552762</v>
      </c>
      <c r="D243">
        <f t="shared" si="19"/>
        <v>1.0615758504887087</v>
      </c>
      <c r="E243">
        <f t="shared" si="16"/>
        <v>11.922159732253181</v>
      </c>
      <c r="F243">
        <f t="shared" si="17"/>
        <v>-0.12215973225318066</v>
      </c>
      <c r="H243">
        <f t="shared" si="18"/>
        <v>0.12215973225318066</v>
      </c>
    </row>
    <row r="244" spans="1:8" x14ac:dyDescent="0.25">
      <c r="A244">
        <v>12.143750000000001</v>
      </c>
      <c r="B244">
        <v>10.943570722018922</v>
      </c>
      <c r="C244">
        <f t="shared" si="15"/>
        <v>1.2001792779810785</v>
      </c>
      <c r="D244">
        <f t="shared" si="19"/>
        <v>0.33468628884473817</v>
      </c>
      <c r="E244">
        <f t="shared" si="16"/>
        <v>11.27825701086366</v>
      </c>
      <c r="F244">
        <f t="shared" si="17"/>
        <v>0.86549298913634054</v>
      </c>
      <c r="H244">
        <f t="shared" si="18"/>
        <v>0.86549298913634054</v>
      </c>
    </row>
    <row r="245" spans="1:8" x14ac:dyDescent="0.25">
      <c r="A245">
        <v>9.3500019999999999</v>
      </c>
      <c r="B245">
        <v>11.028192808269271</v>
      </c>
      <c r="C245">
        <f t="shared" si="15"/>
        <v>-1.6781908082692709</v>
      </c>
      <c r="D245">
        <f t="shared" si="19"/>
        <v>1.0839947227013556</v>
      </c>
      <c r="E245">
        <f t="shared" si="16"/>
        <v>12.112187530970626</v>
      </c>
      <c r="F245">
        <f t="shared" si="17"/>
        <v>-2.7621855309706262</v>
      </c>
      <c r="H245">
        <f t="shared" si="18"/>
        <v>2.7621855309706262</v>
      </c>
    </row>
    <row r="246" spans="1:8" x14ac:dyDescent="0.25">
      <c r="A246">
        <v>9.4312520000000006</v>
      </c>
      <c r="B246">
        <v>11.114425065165056</v>
      </c>
      <c r="C246">
        <f t="shared" si="15"/>
        <v>-1.6831730651650556</v>
      </c>
      <c r="D246">
        <f t="shared" si="19"/>
        <v>-1.6684051378550859</v>
      </c>
      <c r="E246">
        <f t="shared" si="16"/>
        <v>9.4460199273099708</v>
      </c>
      <c r="F246">
        <f t="shared" si="17"/>
        <v>-1.4767927309970119E-2</v>
      </c>
      <c r="H246">
        <f t="shared" si="18"/>
        <v>1.4767927309970119E-2</v>
      </c>
    </row>
    <row r="247" spans="1:8" x14ac:dyDescent="0.25">
      <c r="A247">
        <v>10.74375</v>
      </c>
      <c r="B247">
        <v>11.202241940227527</v>
      </c>
      <c r="C247">
        <f t="shared" si="15"/>
        <v>-0.45849194022752648</v>
      </c>
      <c r="D247">
        <f t="shared" si="19"/>
        <v>-0.71143233224374547</v>
      </c>
      <c r="E247">
        <f t="shared" si="16"/>
        <v>10.490809607983781</v>
      </c>
      <c r="F247">
        <f t="shared" si="17"/>
        <v>0.25294039201621921</v>
      </c>
      <c r="H247">
        <f t="shared" si="18"/>
        <v>0.25294039201621921</v>
      </c>
    </row>
    <row r="248" spans="1:8" x14ac:dyDescent="0.25">
      <c r="A248">
        <v>13.012499999999999</v>
      </c>
      <c r="B248">
        <v>11.291617411421354</v>
      </c>
      <c r="C248">
        <f t="shared" si="15"/>
        <v>1.720882588578645</v>
      </c>
      <c r="D248">
        <f t="shared" si="19"/>
        <v>-9.3549351686331106E-2</v>
      </c>
      <c r="E248">
        <f t="shared" si="16"/>
        <v>11.198068059735023</v>
      </c>
      <c r="F248">
        <f t="shared" si="17"/>
        <v>1.814431940264976</v>
      </c>
      <c r="H248">
        <f t="shared" si="18"/>
        <v>1.814431940264976</v>
      </c>
    </row>
    <row r="249" spans="1:8" x14ac:dyDescent="0.25">
      <c r="A249">
        <v>11.94375</v>
      </c>
      <c r="B249">
        <v>11.382524994865538</v>
      </c>
      <c r="C249">
        <f t="shared" si="15"/>
        <v>0.56122500513446205</v>
      </c>
      <c r="D249">
        <f t="shared" si="19"/>
        <v>1.3580259799010339</v>
      </c>
      <c r="E249">
        <f t="shared" si="16"/>
        <v>12.740550974766572</v>
      </c>
      <c r="F249">
        <f t="shared" si="17"/>
        <v>-0.79680097476657252</v>
      </c>
      <c r="H249">
        <f t="shared" si="18"/>
        <v>0.79680097476657252</v>
      </c>
    </row>
    <row r="250" spans="1:8" x14ac:dyDescent="0.25">
      <c r="A250">
        <v>12.074999999999999</v>
      </c>
      <c r="B250">
        <v>11.474937752681166</v>
      </c>
      <c r="C250">
        <f t="shared" si="15"/>
        <v>0.60006224731883329</v>
      </c>
      <c r="D250">
        <f t="shared" si="19"/>
        <v>-0.1437396292775775</v>
      </c>
      <c r="E250">
        <f t="shared" si="16"/>
        <v>11.331198123403588</v>
      </c>
      <c r="F250">
        <f t="shared" si="17"/>
        <v>0.74380187659641095</v>
      </c>
      <c r="H250">
        <f t="shared" si="18"/>
        <v>0.74380187659641095</v>
      </c>
    </row>
    <row r="251" spans="1:8" x14ac:dyDescent="0.25">
      <c r="A251">
        <v>11.025</v>
      </c>
      <c r="B251">
        <v>11.56882830097366</v>
      </c>
      <c r="C251">
        <f t="shared" si="15"/>
        <v>-0.54382830097365975</v>
      </c>
      <c r="D251">
        <f t="shared" si="19"/>
        <v>0.57944878562484237</v>
      </c>
      <c r="E251">
        <f t="shared" si="16"/>
        <v>12.148277086598503</v>
      </c>
      <c r="F251">
        <f t="shared" si="17"/>
        <v>-1.1232770865985024</v>
      </c>
      <c r="H251">
        <f t="shared" si="18"/>
        <v>1.1232770865985024</v>
      </c>
    </row>
    <row r="252" spans="1:8" x14ac:dyDescent="0.25">
      <c r="A252">
        <v>14.8125</v>
      </c>
      <c r="B252">
        <v>11.664168817947242</v>
      </c>
      <c r="C252">
        <f t="shared" si="15"/>
        <v>3.1483311820527575</v>
      </c>
      <c r="D252">
        <f t="shared" si="19"/>
        <v>-0.57085002906930526</v>
      </c>
      <c r="E252">
        <f t="shared" si="16"/>
        <v>11.093318788877937</v>
      </c>
      <c r="F252">
        <f t="shared" si="17"/>
        <v>3.7191812111220628</v>
      </c>
      <c r="H252">
        <f t="shared" si="18"/>
        <v>3.7191812111220628</v>
      </c>
    </row>
    <row r="253" spans="1:8" x14ac:dyDescent="0.25">
      <c r="A253">
        <v>17.293749999999999</v>
      </c>
      <c r="B253">
        <v>11.760931052149115</v>
      </c>
      <c r="C253">
        <f t="shared" si="15"/>
        <v>5.5328189478508847</v>
      </c>
      <c r="D253">
        <f t="shared" si="19"/>
        <v>2.9274520091813989</v>
      </c>
      <c r="E253">
        <f t="shared" si="16"/>
        <v>14.688383061330514</v>
      </c>
      <c r="F253">
        <f t="shared" si="17"/>
        <v>2.6053669386694853</v>
      </c>
      <c r="H253">
        <f t="shared" si="18"/>
        <v>2.6053669386694853</v>
      </c>
    </row>
    <row r="254" spans="1:8" x14ac:dyDescent="0.25">
      <c r="A254">
        <v>10.262499999999999</v>
      </c>
      <c r="B254">
        <v>11.859086330840977</v>
      </c>
      <c r="C254">
        <f t="shared" si="15"/>
        <v>-1.596586330840978</v>
      </c>
      <c r="D254">
        <f t="shared" si="19"/>
        <v>3.5949613963939884</v>
      </c>
      <c r="E254">
        <f t="shared" si="16"/>
        <v>15.454047727234965</v>
      </c>
      <c r="F254">
        <f t="shared" si="17"/>
        <v>-5.1915477272349655</v>
      </c>
      <c r="H254">
        <f t="shared" si="18"/>
        <v>5.1915477272349655</v>
      </c>
    </row>
    <row r="255" spans="1:8" x14ac:dyDescent="0.25">
      <c r="A255">
        <v>9.4000020000000006</v>
      </c>
      <c r="B255">
        <v>11.9586055684954</v>
      </c>
      <c r="C255">
        <f t="shared" si="15"/>
        <v>-2.5586035684953998</v>
      </c>
      <c r="D255">
        <f t="shared" si="19"/>
        <v>-2.6660738385678426</v>
      </c>
      <c r="E255">
        <f t="shared" si="16"/>
        <v>9.2925317299275569</v>
      </c>
      <c r="F255">
        <f t="shared" si="17"/>
        <v>0.1074702700724437</v>
      </c>
      <c r="H255">
        <f t="shared" si="18"/>
        <v>0.1074702700724437</v>
      </c>
    </row>
    <row r="256" spans="1:8" x14ac:dyDescent="0.25">
      <c r="A256">
        <v>10.3</v>
      </c>
      <c r="B256">
        <v>12.059459275414454</v>
      </c>
      <c r="C256">
        <f t="shared" si="15"/>
        <v>-1.7594592754144536</v>
      </c>
      <c r="D256">
        <f t="shared" si="19"/>
        <v>-0.84574369650648951</v>
      </c>
      <c r="E256">
        <f t="shared" si="16"/>
        <v>11.213715578907966</v>
      </c>
      <c r="F256">
        <f t="shared" si="17"/>
        <v>-0.91371557890796495</v>
      </c>
      <c r="H256">
        <f t="shared" si="18"/>
        <v>0.91371557890796495</v>
      </c>
    </row>
    <row r="257" spans="1:8" x14ac:dyDescent="0.25">
      <c r="A257">
        <v>13.9375</v>
      </c>
      <c r="B257">
        <v>12.161617566468189</v>
      </c>
      <c r="C257">
        <f t="shared" si="15"/>
        <v>1.7758824335318106</v>
      </c>
      <c r="D257">
        <f t="shared" si="19"/>
        <v>-0.90227532108526853</v>
      </c>
      <c r="E257">
        <f t="shared" si="16"/>
        <v>11.259342245382921</v>
      </c>
      <c r="F257">
        <f t="shared" si="17"/>
        <v>2.6781577546170787</v>
      </c>
      <c r="H257">
        <f t="shared" si="18"/>
        <v>2.6781577546170787</v>
      </c>
    </row>
    <row r="258" spans="1:8" x14ac:dyDescent="0.25">
      <c r="A258">
        <v>16.081250000000001</v>
      </c>
      <c r="B258">
        <v>12.265050169950204</v>
      </c>
      <c r="C258">
        <f t="shared" si="15"/>
        <v>3.816199830049797</v>
      </c>
      <c r="D258">
        <f t="shared" si="19"/>
        <v>1.6939086764962681</v>
      </c>
      <c r="E258">
        <f t="shared" si="16"/>
        <v>13.958958846446471</v>
      </c>
      <c r="F258">
        <f t="shared" si="17"/>
        <v>2.1222911535535296</v>
      </c>
      <c r="H258">
        <f t="shared" si="18"/>
        <v>2.1222911535535296</v>
      </c>
    </row>
    <row r="259" spans="1:8" x14ac:dyDescent="0.25">
      <c r="A259">
        <v>13.3375</v>
      </c>
      <c r="B259">
        <v>12.369726436547822</v>
      </c>
      <c r="C259">
        <f t="shared" ref="C259:C322" si="20">A259-B259</f>
        <v>0.96777356345217846</v>
      </c>
      <c r="D259">
        <f t="shared" si="19"/>
        <v>2.4042122795484548</v>
      </c>
      <c r="E259">
        <f t="shared" si="16"/>
        <v>14.773938716096277</v>
      </c>
      <c r="F259">
        <f t="shared" si="17"/>
        <v>-1.4364387160962764</v>
      </c>
      <c r="H259">
        <f t="shared" si="18"/>
        <v>1.4364387160962764</v>
      </c>
    </row>
    <row r="260" spans="1:8" x14ac:dyDescent="0.25">
      <c r="A260">
        <v>12.69375</v>
      </c>
      <c r="B260">
        <v>12.475615348424164</v>
      </c>
      <c r="C260">
        <f t="shared" si="20"/>
        <v>0.218134651575836</v>
      </c>
      <c r="D260">
        <f t="shared" si="19"/>
        <v>-0.14508176313935794</v>
      </c>
      <c r="E260">
        <f t="shared" ref="E260:E323" si="21">B260+D260</f>
        <v>12.330533585284806</v>
      </c>
      <c r="F260">
        <f t="shared" ref="F260:F323" si="22">A260-E260</f>
        <v>0.36321641471519328</v>
      </c>
      <c r="H260">
        <f t="shared" ref="H260:H323" si="23">ABS(F260)</f>
        <v>0.36321641471519328</v>
      </c>
    </row>
    <row r="261" spans="1:8" x14ac:dyDescent="0.25">
      <c r="A261">
        <v>13.675000000000001</v>
      </c>
      <c r="B261">
        <v>12.582685528409357</v>
      </c>
      <c r="C261">
        <f t="shared" si="20"/>
        <v>1.0923144715906439</v>
      </c>
      <c r="D261">
        <f t="shared" si="19"/>
        <v>0.43185460939526454</v>
      </c>
      <c r="E261">
        <f t="shared" si="21"/>
        <v>13.014540137804621</v>
      </c>
      <c r="F261">
        <f t="shared" si="22"/>
        <v>0.66045986219537944</v>
      </c>
      <c r="H261">
        <f t="shared" si="23"/>
        <v>0.66045986219537944</v>
      </c>
    </row>
    <row r="262" spans="1:8" x14ac:dyDescent="0.25">
      <c r="A262">
        <v>15.1625</v>
      </c>
      <c r="B262">
        <v>12.690905249298323</v>
      </c>
      <c r="C262">
        <f t="shared" si="20"/>
        <v>2.4715947507016764</v>
      </c>
      <c r="D262">
        <f t="shared" ref="D262:D325" si="24">$J$1*C261+$J$2*C260+$J$3*C259</f>
        <v>0.99618936650863177</v>
      </c>
      <c r="E262">
        <f t="shared" si="21"/>
        <v>13.687094615806956</v>
      </c>
      <c r="F262">
        <f t="shared" si="22"/>
        <v>1.4754053841930439</v>
      </c>
      <c r="H262">
        <f t="shared" si="23"/>
        <v>1.4754053841930439</v>
      </c>
    </row>
    <row r="263" spans="1:8" x14ac:dyDescent="0.25">
      <c r="A263">
        <v>17.725000000000001</v>
      </c>
      <c r="B263">
        <v>12.800242443252181</v>
      </c>
      <c r="C263">
        <f t="shared" si="20"/>
        <v>4.9247575567478208</v>
      </c>
      <c r="D263">
        <f t="shared" si="24"/>
        <v>1.7740163375001496</v>
      </c>
      <c r="E263">
        <f t="shared" si="21"/>
        <v>14.574258780752331</v>
      </c>
      <c r="F263">
        <f t="shared" si="22"/>
        <v>3.1507412192476707</v>
      </c>
      <c r="H263">
        <f t="shared" si="23"/>
        <v>3.1507412192476707</v>
      </c>
    </row>
    <row r="264" spans="1:8" x14ac:dyDescent="0.25">
      <c r="A264">
        <v>16.375</v>
      </c>
      <c r="B264">
        <v>12.910664711300669</v>
      </c>
      <c r="C264">
        <f t="shared" si="20"/>
        <v>3.4643352886993313</v>
      </c>
      <c r="D264">
        <f t="shared" si="24"/>
        <v>3.5362464552920709</v>
      </c>
      <c r="E264">
        <f t="shared" si="21"/>
        <v>16.446911166592741</v>
      </c>
      <c r="F264">
        <f t="shared" si="22"/>
        <v>-7.1911166592741438E-2</v>
      </c>
      <c r="H264">
        <f t="shared" si="23"/>
        <v>7.1911166592741438E-2</v>
      </c>
    </row>
    <row r="265" spans="1:8" x14ac:dyDescent="0.25">
      <c r="A265">
        <v>14.15</v>
      </c>
      <c r="B265">
        <v>13.022139332942666</v>
      </c>
      <c r="C265">
        <f t="shared" si="20"/>
        <v>1.1278606670573339</v>
      </c>
      <c r="D265">
        <f t="shared" si="24"/>
        <v>1.7146365000413428</v>
      </c>
      <c r="E265">
        <f t="shared" si="21"/>
        <v>14.736775832984009</v>
      </c>
      <c r="F265">
        <f t="shared" si="22"/>
        <v>-0.58677583298400826</v>
      </c>
      <c r="H265">
        <f t="shared" si="23"/>
        <v>0.58677583298400826</v>
      </c>
    </row>
    <row r="266" spans="1:8" x14ac:dyDescent="0.25">
      <c r="A266">
        <v>14.86875</v>
      </c>
      <c r="B266">
        <v>13.134633275841951</v>
      </c>
      <c r="C266">
        <f t="shared" si="20"/>
        <v>1.7341167241580493</v>
      </c>
      <c r="D266">
        <f t="shared" si="24"/>
        <v>0.56334159268572015</v>
      </c>
      <c r="E266">
        <f t="shared" si="21"/>
        <v>13.697974868527671</v>
      </c>
      <c r="F266">
        <f t="shared" si="22"/>
        <v>1.1707751314723289</v>
      </c>
      <c r="H266">
        <f t="shared" si="23"/>
        <v>1.1707751314723289</v>
      </c>
    </row>
    <row r="267" spans="1:8" x14ac:dyDescent="0.25">
      <c r="A267">
        <v>18.34375</v>
      </c>
      <c r="B267">
        <v>13.248113205615434</v>
      </c>
      <c r="C267">
        <f t="shared" si="20"/>
        <v>5.095636794384566</v>
      </c>
      <c r="D267">
        <f t="shared" si="24"/>
        <v>1.6125376884258897</v>
      </c>
      <c r="E267">
        <f t="shared" si="21"/>
        <v>14.860650894041324</v>
      </c>
      <c r="F267">
        <f t="shared" si="22"/>
        <v>3.4830991059586758</v>
      </c>
      <c r="H267">
        <f t="shared" si="23"/>
        <v>3.4830991059586758</v>
      </c>
    </row>
    <row r="268" spans="1:8" x14ac:dyDescent="0.25">
      <c r="A268">
        <v>14.3</v>
      </c>
      <c r="B268">
        <v>13.362545495710821</v>
      </c>
      <c r="C268">
        <f t="shared" si="20"/>
        <v>0.93745450428917998</v>
      </c>
      <c r="D268">
        <f t="shared" si="24"/>
        <v>3.9226153201455638</v>
      </c>
      <c r="E268">
        <f t="shared" si="21"/>
        <v>17.285160815856386</v>
      </c>
      <c r="F268">
        <f t="shared" si="22"/>
        <v>-2.9851608158563856</v>
      </c>
      <c r="H268">
        <f t="shared" si="23"/>
        <v>2.9851608158563856</v>
      </c>
    </row>
    <row r="269" spans="1:8" x14ac:dyDescent="0.25">
      <c r="A269">
        <v>15.737500000000001</v>
      </c>
      <c r="B269">
        <v>13.477896237370899</v>
      </c>
      <c r="C269">
        <f t="shared" si="20"/>
        <v>2.2596037626291015</v>
      </c>
      <c r="D269">
        <f t="shared" si="24"/>
        <v>-0.58716728322841938</v>
      </c>
      <c r="E269">
        <f t="shared" si="21"/>
        <v>12.89072895414248</v>
      </c>
      <c r="F269">
        <f t="shared" si="22"/>
        <v>2.8467710458575208</v>
      </c>
      <c r="H269">
        <f t="shared" si="23"/>
        <v>2.8467710458575208</v>
      </c>
    </row>
    <row r="270" spans="1:8" x14ac:dyDescent="0.25">
      <c r="A270">
        <v>12.975</v>
      </c>
      <c r="B270">
        <v>13.594131249681455</v>
      </c>
      <c r="C270">
        <f t="shared" si="20"/>
        <v>-0.61913124968145539</v>
      </c>
      <c r="D270">
        <f t="shared" si="24"/>
        <v>2.3568114215758427</v>
      </c>
      <c r="E270">
        <f t="shared" si="21"/>
        <v>15.950942671257298</v>
      </c>
      <c r="F270">
        <f t="shared" si="22"/>
        <v>-2.9759426712572985</v>
      </c>
      <c r="H270">
        <f t="shared" si="23"/>
        <v>2.9759426712572985</v>
      </c>
    </row>
    <row r="271" spans="1:8" x14ac:dyDescent="0.25">
      <c r="A271">
        <v>13.44375</v>
      </c>
      <c r="B271">
        <v>13.71121608969977</v>
      </c>
      <c r="C271">
        <f t="shared" si="20"/>
        <v>-0.26746608969977004</v>
      </c>
      <c r="D271">
        <f t="shared" si="24"/>
        <v>-1.1118493395788238</v>
      </c>
      <c r="E271">
        <f t="shared" si="21"/>
        <v>12.599366750120947</v>
      </c>
      <c r="F271">
        <f t="shared" si="22"/>
        <v>0.84438324987905311</v>
      </c>
      <c r="H271">
        <f t="shared" si="23"/>
        <v>0.84438324987905311</v>
      </c>
    </row>
    <row r="272" spans="1:8" x14ac:dyDescent="0.25">
      <c r="A272">
        <v>15.96875</v>
      </c>
      <c r="B272">
        <v>13.829116062660862</v>
      </c>
      <c r="C272">
        <f t="shared" si="20"/>
        <v>2.1396339373391378</v>
      </c>
      <c r="D272">
        <f t="shared" si="24"/>
        <v>0.30224670995312919</v>
      </c>
      <c r="E272">
        <f t="shared" si="21"/>
        <v>14.131362772613992</v>
      </c>
      <c r="F272">
        <f t="shared" si="22"/>
        <v>1.8373872273860083</v>
      </c>
      <c r="H272">
        <f t="shared" si="23"/>
        <v>1.8373872273860083</v>
      </c>
    </row>
    <row r="273" spans="1:8" x14ac:dyDescent="0.25">
      <c r="A273">
        <v>19.918749999999999</v>
      </c>
      <c r="B273">
        <v>13.947796232258247</v>
      </c>
      <c r="C273">
        <f t="shared" si="20"/>
        <v>5.9709537677417526</v>
      </c>
      <c r="D273">
        <f t="shared" si="24"/>
        <v>1.8067353907395698</v>
      </c>
      <c r="E273">
        <f t="shared" si="21"/>
        <v>15.754531622997817</v>
      </c>
      <c r="F273">
        <f t="shared" si="22"/>
        <v>4.1642183770021823</v>
      </c>
      <c r="H273">
        <f t="shared" si="23"/>
        <v>4.1642183770021823</v>
      </c>
    </row>
    <row r="274" spans="1:8" x14ac:dyDescent="0.25">
      <c r="A274">
        <v>17.043749999999999</v>
      </c>
      <c r="B274">
        <v>14.067221430996337</v>
      </c>
      <c r="C274">
        <f t="shared" si="20"/>
        <v>2.976528569003662</v>
      </c>
      <c r="D274">
        <f t="shared" si="24"/>
        <v>4.3297520603603701</v>
      </c>
      <c r="E274">
        <f t="shared" si="21"/>
        <v>18.396973491356707</v>
      </c>
      <c r="F274">
        <f t="shared" si="22"/>
        <v>-1.3532234913567081</v>
      </c>
      <c r="H274">
        <f t="shared" si="23"/>
        <v>1.3532234913567081</v>
      </c>
    </row>
    <row r="275" spans="1:8" x14ac:dyDescent="0.25">
      <c r="A275">
        <v>17.837499999999999</v>
      </c>
      <c r="B275">
        <v>14.187356270611357</v>
      </c>
      <c r="C275">
        <f t="shared" si="20"/>
        <v>3.6501437293886418</v>
      </c>
      <c r="D275">
        <f t="shared" si="24"/>
        <v>0.91764473144896841</v>
      </c>
      <c r="E275">
        <f t="shared" si="21"/>
        <v>15.105001002060325</v>
      </c>
      <c r="F275">
        <f t="shared" si="22"/>
        <v>2.7324989979396737</v>
      </c>
      <c r="H275">
        <f t="shared" si="23"/>
        <v>2.7324989979396737</v>
      </c>
    </row>
    <row r="276" spans="1:8" x14ac:dyDescent="0.25">
      <c r="A276">
        <v>15.231249999999999</v>
      </c>
      <c r="B276">
        <v>14.308165152557589</v>
      </c>
      <c r="C276">
        <f t="shared" si="20"/>
        <v>0.92308484744241071</v>
      </c>
      <c r="D276">
        <f t="shared" si="24"/>
        <v>3.0079953146880198</v>
      </c>
      <c r="E276">
        <f t="shared" si="21"/>
        <v>17.316160467245609</v>
      </c>
      <c r="F276">
        <f t="shared" si="22"/>
        <v>-2.08491046724561</v>
      </c>
      <c r="H276">
        <f t="shared" si="23"/>
        <v>2.08491046724561</v>
      </c>
    </row>
    <row r="277" spans="1:8" x14ac:dyDescent="0.25">
      <c r="A277">
        <v>13.74375</v>
      </c>
      <c r="B277">
        <v>14.429612278556057</v>
      </c>
      <c r="C277">
        <f t="shared" si="20"/>
        <v>-0.68586227855605664</v>
      </c>
      <c r="D277">
        <f t="shared" si="24"/>
        <v>4.5753361761242561E-2</v>
      </c>
      <c r="E277">
        <f t="shared" si="21"/>
        <v>14.4753656403173</v>
      </c>
      <c r="F277">
        <f t="shared" si="22"/>
        <v>-0.73161564031729931</v>
      </c>
      <c r="H277">
        <f t="shared" si="23"/>
        <v>0.73161564031729931</v>
      </c>
    </row>
    <row r="278" spans="1:8" x14ac:dyDescent="0.25">
      <c r="A278">
        <v>12.05625</v>
      </c>
      <c r="B278">
        <v>14.551661661202278</v>
      </c>
      <c r="C278">
        <f t="shared" si="20"/>
        <v>-2.4954116612022776</v>
      </c>
      <c r="D278">
        <f t="shared" si="24"/>
        <v>-0.3433983167366581</v>
      </c>
      <c r="E278">
        <f t="shared" si="21"/>
        <v>14.208263344465619</v>
      </c>
      <c r="F278">
        <f t="shared" si="22"/>
        <v>-2.1520133444656189</v>
      </c>
      <c r="H278">
        <f t="shared" si="23"/>
        <v>2.1520133444656189</v>
      </c>
    </row>
    <row r="279" spans="1:8" x14ac:dyDescent="0.25">
      <c r="A279">
        <v>15.387499999999999</v>
      </c>
      <c r="B279">
        <v>14.674277134630126</v>
      </c>
      <c r="C279">
        <f t="shared" si="20"/>
        <v>0.71322286536987356</v>
      </c>
      <c r="D279">
        <f t="shared" si="24"/>
        <v>-1.7577967834295847</v>
      </c>
      <c r="E279">
        <f t="shared" si="21"/>
        <v>12.916480351200541</v>
      </c>
      <c r="F279">
        <f t="shared" si="22"/>
        <v>2.4710196487994587</v>
      </c>
      <c r="H279">
        <f t="shared" si="23"/>
        <v>2.4710196487994587</v>
      </c>
    </row>
    <row r="280" spans="1:8" x14ac:dyDescent="0.25">
      <c r="A280">
        <v>19.631250000000001</v>
      </c>
      <c r="B280">
        <v>14.797422365228579</v>
      </c>
      <c r="C280">
        <f t="shared" si="20"/>
        <v>4.8338276347714224</v>
      </c>
      <c r="D280">
        <f t="shared" si="24"/>
        <v>1.3038885186726654</v>
      </c>
      <c r="E280">
        <f t="shared" si="21"/>
        <v>16.101310883901245</v>
      </c>
      <c r="F280">
        <f t="shared" si="22"/>
        <v>3.5299391160987561</v>
      </c>
      <c r="H280">
        <f t="shared" si="23"/>
        <v>3.5299391160987561</v>
      </c>
    </row>
    <row r="281" spans="1:8" x14ac:dyDescent="0.25">
      <c r="A281">
        <v>15.275</v>
      </c>
      <c r="B281">
        <v>14.921060862408106</v>
      </c>
      <c r="C281">
        <f t="shared" si="20"/>
        <v>0.35393913759189388</v>
      </c>
      <c r="D281">
        <f t="shared" si="24"/>
        <v>3.4990082589717151</v>
      </c>
      <c r="E281">
        <f t="shared" si="21"/>
        <v>18.420069121379822</v>
      </c>
      <c r="F281">
        <f t="shared" si="22"/>
        <v>-3.1450691213798212</v>
      </c>
      <c r="H281">
        <f t="shared" si="23"/>
        <v>3.1450691213798212</v>
      </c>
    </row>
    <row r="282" spans="1:8" x14ac:dyDescent="0.25">
      <c r="A282">
        <v>17.731249999999999</v>
      </c>
      <c r="B282">
        <v>15.045155989413669</v>
      </c>
      <c r="C282">
        <f t="shared" si="20"/>
        <v>2.6860940105863307</v>
      </c>
      <c r="D282">
        <f t="shared" si="24"/>
        <v>-1.1463617879553589</v>
      </c>
      <c r="E282">
        <f t="shared" si="21"/>
        <v>13.89879420145831</v>
      </c>
      <c r="F282">
        <f t="shared" si="22"/>
        <v>3.8324557985416892</v>
      </c>
      <c r="H282">
        <f t="shared" si="23"/>
        <v>3.8324557985416892</v>
      </c>
    </row>
    <row r="283" spans="1:8" x14ac:dyDescent="0.25">
      <c r="A283">
        <v>15.106249999999999</v>
      </c>
      <c r="B283">
        <v>15.169670974180935</v>
      </c>
      <c r="C283">
        <f t="shared" si="20"/>
        <v>-6.342097418093573E-2</v>
      </c>
      <c r="D283">
        <f t="shared" si="24"/>
        <v>2.866761125376772</v>
      </c>
      <c r="E283">
        <f t="shared" si="21"/>
        <v>18.036432099557707</v>
      </c>
      <c r="F283">
        <f t="shared" si="22"/>
        <v>-2.9301820995577081</v>
      </c>
      <c r="H283">
        <f t="shared" si="23"/>
        <v>2.9301820995577081</v>
      </c>
    </row>
    <row r="284" spans="1:8" x14ac:dyDescent="0.25">
      <c r="A284">
        <v>13.30625</v>
      </c>
      <c r="B284">
        <v>15.294568920232662</v>
      </c>
      <c r="C284">
        <f t="shared" si="20"/>
        <v>-1.9883189202326612</v>
      </c>
      <c r="D284">
        <f t="shared" si="24"/>
        <v>-0.86341203793444077</v>
      </c>
      <c r="E284">
        <f t="shared" si="21"/>
        <v>14.431156882298222</v>
      </c>
      <c r="F284">
        <f t="shared" si="22"/>
        <v>-1.1249068822982213</v>
      </c>
      <c r="H284">
        <f t="shared" si="23"/>
        <v>1.1249068822982213</v>
      </c>
    </row>
    <row r="285" spans="1:8" x14ac:dyDescent="0.25">
      <c r="A285">
        <v>13.612500000000001</v>
      </c>
      <c r="B285">
        <v>15.419812817611923</v>
      </c>
      <c r="C285">
        <f t="shared" si="20"/>
        <v>-1.8073128176119226</v>
      </c>
      <c r="D285">
        <f t="shared" si="24"/>
        <v>-1.2705333565024819</v>
      </c>
      <c r="E285">
        <f t="shared" si="21"/>
        <v>14.149279461109442</v>
      </c>
      <c r="F285">
        <f t="shared" si="22"/>
        <v>-0.53677946110944141</v>
      </c>
      <c r="H285">
        <f t="shared" si="23"/>
        <v>0.53677946110944141</v>
      </c>
    </row>
    <row r="286" spans="1:8" x14ac:dyDescent="0.25">
      <c r="A286">
        <v>15.43125</v>
      </c>
      <c r="B286">
        <v>15.545365553848933</v>
      </c>
      <c r="C286">
        <f t="shared" si="20"/>
        <v>-0.1141155538489329</v>
      </c>
      <c r="D286">
        <f t="shared" si="24"/>
        <v>-0.90168295799947407</v>
      </c>
      <c r="E286">
        <f t="shared" si="21"/>
        <v>14.643682595849459</v>
      </c>
      <c r="F286">
        <f t="shared" si="22"/>
        <v>0.78756740415054161</v>
      </c>
      <c r="H286">
        <f t="shared" si="23"/>
        <v>0.78756740415054161</v>
      </c>
    </row>
    <row r="287" spans="1:8" x14ac:dyDescent="0.25">
      <c r="A287">
        <v>19.55</v>
      </c>
      <c r="B287">
        <v>15.671189924958306</v>
      </c>
      <c r="C287">
        <f t="shared" si="20"/>
        <v>3.8788100750416952</v>
      </c>
      <c r="D287">
        <f t="shared" si="24"/>
        <v>0.19250159847364517</v>
      </c>
      <c r="E287">
        <f t="shared" si="21"/>
        <v>15.863691523431951</v>
      </c>
      <c r="F287">
        <f t="shared" si="22"/>
        <v>3.6863084765680494</v>
      </c>
      <c r="H287">
        <f t="shared" si="23"/>
        <v>3.6863084765680494</v>
      </c>
    </row>
    <row r="288" spans="1:8" x14ac:dyDescent="0.25">
      <c r="A288">
        <v>19.8</v>
      </c>
      <c r="B288">
        <v>15.797248646463361</v>
      </c>
      <c r="C288">
        <f t="shared" si="20"/>
        <v>4.0027513535366399</v>
      </c>
      <c r="D288">
        <f t="shared" si="24"/>
        <v>3.0563490649965503</v>
      </c>
      <c r="E288">
        <f t="shared" si="21"/>
        <v>18.853597711459912</v>
      </c>
      <c r="F288">
        <f t="shared" si="22"/>
        <v>0.94640228854008868</v>
      </c>
      <c r="H288">
        <f t="shared" si="23"/>
        <v>0.94640228854008868</v>
      </c>
    </row>
    <row r="289" spans="1:8" x14ac:dyDescent="0.25">
      <c r="A289">
        <v>16.943750000000001</v>
      </c>
      <c r="B289">
        <v>15.923504364444343</v>
      </c>
      <c r="C289">
        <f t="shared" si="20"/>
        <v>1.0202456355556588</v>
      </c>
      <c r="D289">
        <f t="shared" si="24"/>
        <v>2.1281226224209187</v>
      </c>
      <c r="E289">
        <f t="shared" si="21"/>
        <v>18.051626986865262</v>
      </c>
      <c r="F289">
        <f t="shared" si="22"/>
        <v>-1.1078769868652607</v>
      </c>
      <c r="H289">
        <f t="shared" si="23"/>
        <v>1.1078769868652607</v>
      </c>
    </row>
    <row r="290" spans="1:8" x14ac:dyDescent="0.25">
      <c r="A290">
        <v>14.081250000000001</v>
      </c>
      <c r="B290">
        <v>16.049919666607202</v>
      </c>
      <c r="C290">
        <f t="shared" si="20"/>
        <v>-1.9686696666072017</v>
      </c>
      <c r="D290">
        <f t="shared" si="24"/>
        <v>0.14675174794581214</v>
      </c>
      <c r="E290">
        <f t="shared" si="21"/>
        <v>16.196671414553016</v>
      </c>
      <c r="F290">
        <f t="shared" si="22"/>
        <v>-2.1154214145530155</v>
      </c>
      <c r="H290">
        <f t="shared" si="23"/>
        <v>2.1154214145530155</v>
      </c>
    </row>
    <row r="291" spans="1:8" x14ac:dyDescent="0.25">
      <c r="A291">
        <v>14.68125</v>
      </c>
      <c r="B291">
        <v>16.176457093369631</v>
      </c>
      <c r="C291">
        <f t="shared" si="20"/>
        <v>-1.4952070933696309</v>
      </c>
      <c r="D291">
        <f t="shared" si="24"/>
        <v>-1.4090665423206536</v>
      </c>
      <c r="E291">
        <f t="shared" si="21"/>
        <v>14.767390551048978</v>
      </c>
      <c r="F291">
        <f t="shared" si="22"/>
        <v>-8.6140551048977443E-2</v>
      </c>
      <c r="H291">
        <f t="shared" si="23"/>
        <v>8.6140551048977443E-2</v>
      </c>
    </row>
    <row r="292" spans="1:8" x14ac:dyDescent="0.25">
      <c r="A292">
        <v>13.25625</v>
      </c>
      <c r="B292">
        <v>16.303079148961196</v>
      </c>
      <c r="C292">
        <f t="shared" si="20"/>
        <v>-3.0468291489611961</v>
      </c>
      <c r="D292">
        <f t="shared" si="24"/>
        <v>-0.48543207581111814</v>
      </c>
      <c r="E292">
        <f t="shared" si="21"/>
        <v>15.817647073150077</v>
      </c>
      <c r="F292">
        <f t="shared" si="22"/>
        <v>-2.5613970731500775</v>
      </c>
      <c r="H292">
        <f t="shared" si="23"/>
        <v>2.5613970731500775</v>
      </c>
    </row>
    <row r="293" spans="1:8" x14ac:dyDescent="0.25">
      <c r="A293">
        <v>13.856249999999999</v>
      </c>
      <c r="B293">
        <v>16.42974831253408</v>
      </c>
      <c r="C293">
        <f t="shared" si="20"/>
        <v>-2.5734983125340811</v>
      </c>
      <c r="D293">
        <f t="shared" si="24"/>
        <v>-2.3875552809582201</v>
      </c>
      <c r="E293">
        <f t="shared" si="21"/>
        <v>14.042193031575859</v>
      </c>
      <c r="F293">
        <f t="shared" si="22"/>
        <v>-0.18594303157586012</v>
      </c>
      <c r="H293">
        <f t="shared" si="23"/>
        <v>0.18594303157586012</v>
      </c>
    </row>
    <row r="294" spans="1:8" x14ac:dyDescent="0.25">
      <c r="A294">
        <v>15.25</v>
      </c>
      <c r="B294">
        <v>16.556427049281378</v>
      </c>
      <c r="C294">
        <f t="shared" si="20"/>
        <v>-1.3064270492813783</v>
      </c>
      <c r="D294">
        <f t="shared" si="24"/>
        <v>-1.4200553196608006</v>
      </c>
      <c r="E294">
        <f t="shared" si="21"/>
        <v>15.136371729620578</v>
      </c>
      <c r="F294">
        <f t="shared" si="22"/>
        <v>0.11362827037942225</v>
      </c>
      <c r="H294">
        <f t="shared" si="23"/>
        <v>0.11362827037942225</v>
      </c>
    </row>
    <row r="295" spans="1:8" x14ac:dyDescent="0.25">
      <c r="A295">
        <v>18.806249999999999</v>
      </c>
      <c r="B295">
        <v>16.683077821559444</v>
      </c>
      <c r="C295">
        <f t="shared" si="20"/>
        <v>2.1231721784405551</v>
      </c>
      <c r="D295">
        <f t="shared" si="24"/>
        <v>-0.72584196975516591</v>
      </c>
      <c r="E295">
        <f t="shared" si="21"/>
        <v>15.957235851804278</v>
      </c>
      <c r="F295">
        <f t="shared" si="22"/>
        <v>2.849014148195721</v>
      </c>
      <c r="H295">
        <f t="shared" si="23"/>
        <v>2.849014148195721</v>
      </c>
    </row>
    <row r="296" spans="1:8" x14ac:dyDescent="0.25">
      <c r="A296">
        <v>24.587499999999999</v>
      </c>
      <c r="B296">
        <v>16.809663100011097</v>
      </c>
      <c r="C296">
        <f t="shared" si="20"/>
        <v>7.7778368999889018</v>
      </c>
      <c r="D296">
        <f t="shared" si="24"/>
        <v>1.8404606175110825</v>
      </c>
      <c r="E296">
        <f t="shared" si="21"/>
        <v>18.650123717522177</v>
      </c>
      <c r="F296">
        <f t="shared" si="22"/>
        <v>5.9373762824778211</v>
      </c>
      <c r="H296">
        <f t="shared" si="23"/>
        <v>5.9373762824778211</v>
      </c>
    </row>
    <row r="297" spans="1:8" x14ac:dyDescent="0.25">
      <c r="A297">
        <v>18</v>
      </c>
      <c r="B297">
        <v>16.936145374686408</v>
      </c>
      <c r="C297">
        <f t="shared" si="20"/>
        <v>1.0638546253135921</v>
      </c>
      <c r="D297">
        <f t="shared" si="24"/>
        <v>5.7129464100047089</v>
      </c>
      <c r="E297">
        <f t="shared" si="21"/>
        <v>22.649091784691116</v>
      </c>
      <c r="F297">
        <f t="shared" si="22"/>
        <v>-4.6490917846911159</v>
      </c>
      <c r="H297">
        <f t="shared" si="23"/>
        <v>4.6490917846911159</v>
      </c>
    </row>
    <row r="298" spans="1:8" x14ac:dyDescent="0.25">
      <c r="A298">
        <v>16.068750000000001</v>
      </c>
      <c r="B298">
        <v>17.062487166157673</v>
      </c>
      <c r="C298">
        <f t="shared" si="20"/>
        <v>-0.99373716615767194</v>
      </c>
      <c r="D298">
        <f t="shared" si="24"/>
        <v>-1.2834975127657884</v>
      </c>
      <c r="E298">
        <f t="shared" si="21"/>
        <v>15.778989653391886</v>
      </c>
      <c r="F298">
        <f t="shared" si="22"/>
        <v>0.28976034660811578</v>
      </c>
      <c r="H298">
        <f t="shared" si="23"/>
        <v>0.28976034660811578</v>
      </c>
    </row>
    <row r="299" spans="1:8" x14ac:dyDescent="0.25">
      <c r="A299">
        <v>21.668749999999999</v>
      </c>
      <c r="B299">
        <v>17.188651036625394</v>
      </c>
      <c r="C299">
        <f t="shared" si="20"/>
        <v>4.4800989633746049</v>
      </c>
      <c r="D299">
        <f t="shared" si="24"/>
        <v>-4.6134092118775394E-2</v>
      </c>
      <c r="E299">
        <f t="shared" si="21"/>
        <v>17.142516944506617</v>
      </c>
      <c r="F299">
        <f t="shared" si="22"/>
        <v>4.5262330554933818</v>
      </c>
      <c r="H299">
        <f t="shared" si="23"/>
        <v>4.5262330554933818</v>
      </c>
    </row>
    <row r="300" spans="1:8" x14ac:dyDescent="0.25">
      <c r="A300">
        <v>17.262499999999999</v>
      </c>
      <c r="B300">
        <v>17.314599601011928</v>
      </c>
      <c r="C300">
        <f t="shared" si="20"/>
        <v>-5.2099601011928343E-2</v>
      </c>
      <c r="D300">
        <f t="shared" si="24"/>
        <v>4.2669724523380212</v>
      </c>
      <c r="E300">
        <f t="shared" si="21"/>
        <v>21.581572053349948</v>
      </c>
      <c r="F300">
        <f t="shared" si="22"/>
        <v>-4.3190720533499487</v>
      </c>
      <c r="H300">
        <f t="shared" si="23"/>
        <v>4.3190720533499487</v>
      </c>
    </row>
    <row r="301" spans="1:8" x14ac:dyDescent="0.25">
      <c r="A301">
        <v>12.8125</v>
      </c>
      <c r="B301">
        <v>17.440295538039436</v>
      </c>
      <c r="C301">
        <f t="shared" si="20"/>
        <v>-4.627795538039436</v>
      </c>
      <c r="D301">
        <f t="shared" si="24"/>
        <v>-1.6260602597465701</v>
      </c>
      <c r="E301">
        <f t="shared" si="21"/>
        <v>15.814235278292866</v>
      </c>
      <c r="F301">
        <f t="shared" si="22"/>
        <v>-3.0017352782928661</v>
      </c>
      <c r="H301">
        <f t="shared" si="23"/>
        <v>3.0017352782928661</v>
      </c>
    </row>
    <row r="302" spans="1:8" x14ac:dyDescent="0.25">
      <c r="A302">
        <v>15.9125</v>
      </c>
      <c r="B302">
        <v>17.565701601289057</v>
      </c>
      <c r="C302">
        <f t="shared" si="20"/>
        <v>-1.6532016012890569</v>
      </c>
      <c r="D302">
        <f t="shared" si="24"/>
        <v>-3.2466409019106308</v>
      </c>
      <c r="E302">
        <f t="shared" si="21"/>
        <v>14.319060699378426</v>
      </c>
      <c r="F302">
        <f t="shared" si="22"/>
        <v>1.5934393006215739</v>
      </c>
      <c r="H302">
        <f t="shared" si="23"/>
        <v>1.5934393006215739</v>
      </c>
    </row>
    <row r="303" spans="1:8" x14ac:dyDescent="0.25">
      <c r="A303">
        <v>19.806249999999999</v>
      </c>
      <c r="B303">
        <v>17.69078063023775</v>
      </c>
      <c r="C303">
        <f t="shared" si="20"/>
        <v>2.1154693697622484</v>
      </c>
      <c r="D303">
        <f t="shared" si="24"/>
        <v>7.692180169008872E-2</v>
      </c>
      <c r="E303">
        <f t="shared" si="21"/>
        <v>17.767702431927837</v>
      </c>
      <c r="F303">
        <f t="shared" si="22"/>
        <v>2.0385475680721612</v>
      </c>
      <c r="H303">
        <f t="shared" si="23"/>
        <v>2.0385475680721612</v>
      </c>
    </row>
    <row r="304" spans="1:8" x14ac:dyDescent="0.25">
      <c r="A304">
        <v>22.787500000000001</v>
      </c>
      <c r="B304">
        <v>17.815495561269813</v>
      </c>
      <c r="C304">
        <f t="shared" si="20"/>
        <v>4.9720044387301883</v>
      </c>
      <c r="D304">
        <f t="shared" si="24"/>
        <v>1.6450171938665585</v>
      </c>
      <c r="E304">
        <f t="shared" si="21"/>
        <v>19.460512755136371</v>
      </c>
      <c r="F304">
        <f t="shared" si="22"/>
        <v>3.3269872448636306</v>
      </c>
      <c r="H304">
        <f t="shared" si="23"/>
        <v>3.3269872448636306</v>
      </c>
    </row>
    <row r="305" spans="1:8" x14ac:dyDescent="0.25">
      <c r="A305">
        <v>18.368749999999999</v>
      </c>
      <c r="B305">
        <v>17.939809438659619</v>
      </c>
      <c r="C305">
        <f t="shared" si="20"/>
        <v>0.42894056134037939</v>
      </c>
      <c r="D305">
        <f t="shared" si="24"/>
        <v>3.2893351769978931</v>
      </c>
      <c r="E305">
        <f t="shared" si="21"/>
        <v>21.229144615657511</v>
      </c>
      <c r="F305">
        <f t="shared" si="22"/>
        <v>-2.860394615657512</v>
      </c>
      <c r="H305">
        <f t="shared" si="23"/>
        <v>2.860394615657512</v>
      </c>
    </row>
    <row r="306" spans="1:8" x14ac:dyDescent="0.25">
      <c r="A306">
        <v>17.862500000000001</v>
      </c>
      <c r="B306">
        <v>18.063685425522372</v>
      </c>
      <c r="C306">
        <f t="shared" si="20"/>
        <v>-0.20118542552237173</v>
      </c>
      <c r="D306">
        <f t="shared" si="24"/>
        <v>-0.92231066934774142</v>
      </c>
      <c r="E306">
        <f t="shared" si="21"/>
        <v>17.141374756174631</v>
      </c>
      <c r="F306">
        <f t="shared" si="22"/>
        <v>0.72112524382536947</v>
      </c>
      <c r="H306">
        <f t="shared" si="23"/>
        <v>0.72112524382536947</v>
      </c>
    </row>
    <row r="307" spans="1:8" x14ac:dyDescent="0.25">
      <c r="A307">
        <v>20.53125</v>
      </c>
      <c r="B307">
        <v>18.187086814729721</v>
      </c>
      <c r="C307">
        <f t="shared" si="20"/>
        <v>2.3441631852702791</v>
      </c>
      <c r="D307">
        <f t="shared" si="24"/>
        <v>0.41852502922938101</v>
      </c>
      <c r="E307">
        <f t="shared" si="21"/>
        <v>18.605611843959103</v>
      </c>
      <c r="F307">
        <f t="shared" si="22"/>
        <v>1.9256381560408968</v>
      </c>
      <c r="H307">
        <f t="shared" si="23"/>
        <v>1.9256381560408968</v>
      </c>
    </row>
    <row r="308" spans="1:8" x14ac:dyDescent="0.25">
      <c r="A308">
        <v>24.337510000000002</v>
      </c>
      <c r="B308">
        <v>18.309977039786808</v>
      </c>
      <c r="C308">
        <f t="shared" si="20"/>
        <v>6.0275329602131933</v>
      </c>
      <c r="D308">
        <f t="shared" si="24"/>
        <v>2.1117569346266722</v>
      </c>
      <c r="E308">
        <f t="shared" si="21"/>
        <v>20.421733974413481</v>
      </c>
      <c r="F308">
        <f t="shared" si="22"/>
        <v>3.9157760255865206</v>
      </c>
      <c r="H308">
        <f t="shared" si="23"/>
        <v>3.9157760255865206</v>
      </c>
    </row>
    <row r="309" spans="1:8" x14ac:dyDescent="0.25">
      <c r="A309">
        <v>22.1</v>
      </c>
      <c r="B309">
        <v>18.43231968566776</v>
      </c>
      <c r="C309">
        <f t="shared" si="20"/>
        <v>3.667680314332241</v>
      </c>
      <c r="D309">
        <f t="shared" si="24"/>
        <v>4.3217430799314931</v>
      </c>
      <c r="E309">
        <f t="shared" si="21"/>
        <v>22.754062765599254</v>
      </c>
      <c r="F309">
        <f t="shared" si="22"/>
        <v>-0.65406276559925303</v>
      </c>
      <c r="H309">
        <f t="shared" si="23"/>
        <v>0.65406276559925303</v>
      </c>
    </row>
    <row r="310" spans="1:8" x14ac:dyDescent="0.25">
      <c r="A310">
        <v>21.806249999999999</v>
      </c>
      <c r="B310">
        <v>18.554078499606248</v>
      </c>
      <c r="C310">
        <f t="shared" si="20"/>
        <v>3.2521715003937501</v>
      </c>
      <c r="D310">
        <f t="shared" si="24"/>
        <v>1.5145105751412919</v>
      </c>
      <c r="E310">
        <f t="shared" si="21"/>
        <v>20.068589074747539</v>
      </c>
      <c r="F310">
        <f t="shared" si="22"/>
        <v>1.7376609252524595</v>
      </c>
      <c r="H310">
        <f t="shared" si="23"/>
        <v>1.7376609252524595</v>
      </c>
    </row>
    <row r="311" spans="1:8" x14ac:dyDescent="0.25">
      <c r="A311">
        <v>16.056249999999999</v>
      </c>
      <c r="B311">
        <v>18.675217401837909</v>
      </c>
      <c r="C311">
        <f t="shared" si="20"/>
        <v>-2.6189674018379101</v>
      </c>
      <c r="D311">
        <f t="shared" si="24"/>
        <v>2.4576858809141466</v>
      </c>
      <c r="E311">
        <f t="shared" si="21"/>
        <v>21.132903282752054</v>
      </c>
      <c r="F311">
        <f t="shared" si="22"/>
        <v>-5.076653282752055</v>
      </c>
      <c r="H311">
        <f t="shared" si="23"/>
        <v>5.076653282752055</v>
      </c>
    </row>
    <row r="312" spans="1:8" x14ac:dyDescent="0.25">
      <c r="A312">
        <v>12.418749999999999</v>
      </c>
      <c r="B312">
        <v>18.795700496291641</v>
      </c>
      <c r="C312">
        <f t="shared" si="20"/>
        <v>-6.3769504962916415</v>
      </c>
      <c r="D312">
        <f t="shared" si="24"/>
        <v>-2.7243411086483098</v>
      </c>
      <c r="E312">
        <f t="shared" si="21"/>
        <v>16.07135938764333</v>
      </c>
      <c r="F312">
        <f t="shared" si="22"/>
        <v>-3.6526093876433308</v>
      </c>
      <c r="H312">
        <f t="shared" si="23"/>
        <v>3.6526093876433308</v>
      </c>
    </row>
    <row r="313" spans="1:8" x14ac:dyDescent="0.25">
      <c r="A313">
        <v>13.018750000000001</v>
      </c>
      <c r="B313">
        <v>18.915492081226308</v>
      </c>
      <c r="C313">
        <f t="shared" si="20"/>
        <v>-5.8967420812263072</v>
      </c>
      <c r="D313">
        <f t="shared" si="24"/>
        <v>-4.0836811881835589</v>
      </c>
      <c r="E313">
        <f t="shared" si="21"/>
        <v>14.83181089304275</v>
      </c>
      <c r="F313">
        <f t="shared" si="22"/>
        <v>-1.8130608930427492</v>
      </c>
      <c r="H313">
        <f t="shared" si="23"/>
        <v>1.8130608930427492</v>
      </c>
    </row>
    <row r="314" spans="1:8" x14ac:dyDescent="0.25">
      <c r="A314">
        <v>14.85</v>
      </c>
      <c r="B314">
        <v>19.034556659809976</v>
      </c>
      <c r="C314">
        <f t="shared" si="20"/>
        <v>-4.1845566598099762</v>
      </c>
      <c r="D314">
        <f t="shared" si="24"/>
        <v>-3.3297249592139813</v>
      </c>
      <c r="E314">
        <f t="shared" si="21"/>
        <v>15.704831700595994</v>
      </c>
      <c r="F314">
        <f t="shared" si="22"/>
        <v>-0.85483170059599445</v>
      </c>
      <c r="H314">
        <f t="shared" si="23"/>
        <v>0.85483170059599445</v>
      </c>
    </row>
    <row r="315" spans="1:8" x14ac:dyDescent="0.25">
      <c r="A315">
        <v>18.293749999999999</v>
      </c>
      <c r="B315">
        <v>19.1528589506384</v>
      </c>
      <c r="C315">
        <f t="shared" si="20"/>
        <v>-0.85910895063840087</v>
      </c>
      <c r="D315">
        <f t="shared" si="24"/>
        <v>-2.5832329502540579</v>
      </c>
      <c r="E315">
        <f t="shared" si="21"/>
        <v>16.569626000384343</v>
      </c>
      <c r="F315">
        <f t="shared" si="22"/>
        <v>1.7241239996156565</v>
      </c>
      <c r="H315">
        <f t="shared" si="23"/>
        <v>1.7241239996156565</v>
      </c>
    </row>
    <row r="316" spans="1:8" x14ac:dyDescent="0.25">
      <c r="A316">
        <v>20.96875</v>
      </c>
      <c r="B316">
        <v>19.270363898189622</v>
      </c>
      <c r="C316">
        <f t="shared" si="20"/>
        <v>1.6983861018103781</v>
      </c>
      <c r="D316">
        <f t="shared" si="24"/>
        <v>-0.24684833487657443</v>
      </c>
      <c r="E316">
        <f t="shared" si="21"/>
        <v>19.023515563313047</v>
      </c>
      <c r="F316">
        <f t="shared" si="22"/>
        <v>1.9452344366869525</v>
      </c>
      <c r="H316">
        <f t="shared" si="23"/>
        <v>1.9452344366869525</v>
      </c>
    </row>
    <row r="317" spans="1:8" x14ac:dyDescent="0.25">
      <c r="A317">
        <v>25.587499999999999</v>
      </c>
      <c r="B317">
        <v>19.387036683211726</v>
      </c>
      <c r="C317">
        <f t="shared" si="20"/>
        <v>6.200463316788273</v>
      </c>
      <c r="D317">
        <f t="shared" si="24"/>
        <v>1.1020061862641637</v>
      </c>
      <c r="E317">
        <f t="shared" si="21"/>
        <v>20.489042869475888</v>
      </c>
      <c r="F317">
        <f t="shared" si="22"/>
        <v>5.0984571305241104</v>
      </c>
      <c r="H317">
        <f t="shared" si="23"/>
        <v>5.0984571305241104</v>
      </c>
    </row>
    <row r="318" spans="1:8" x14ac:dyDescent="0.25">
      <c r="A318">
        <v>22.318750000000001</v>
      </c>
      <c r="B318">
        <v>19.502842733040502</v>
      </c>
      <c r="C318">
        <f t="shared" si="20"/>
        <v>2.8159072669594991</v>
      </c>
      <c r="D318">
        <f t="shared" si="24"/>
        <v>4.5791240034540932</v>
      </c>
      <c r="E318">
        <f t="shared" si="21"/>
        <v>24.081966736494596</v>
      </c>
      <c r="F318">
        <f t="shared" si="22"/>
        <v>-1.763216736494595</v>
      </c>
      <c r="H318">
        <f t="shared" si="23"/>
        <v>1.763216736494595</v>
      </c>
    </row>
    <row r="319" spans="1:8" x14ac:dyDescent="0.25">
      <c r="A319">
        <v>17.112500000000001</v>
      </c>
      <c r="B319">
        <v>19.617747731844084</v>
      </c>
      <c r="C319">
        <f t="shared" si="20"/>
        <v>-2.5052477318440829</v>
      </c>
      <c r="D319">
        <f t="shared" si="24"/>
        <v>0.64359271598840917</v>
      </c>
      <c r="E319">
        <f t="shared" si="21"/>
        <v>20.261340447832492</v>
      </c>
      <c r="F319">
        <f t="shared" si="22"/>
        <v>-3.148840447832491</v>
      </c>
      <c r="H319">
        <f t="shared" si="23"/>
        <v>3.148840447832491</v>
      </c>
    </row>
    <row r="320" spans="1:8" x14ac:dyDescent="0.25">
      <c r="A320">
        <v>18.53125</v>
      </c>
      <c r="B320">
        <v>19.731717630791479</v>
      </c>
      <c r="C320">
        <f t="shared" si="20"/>
        <v>-1.2004676307914792</v>
      </c>
      <c r="D320">
        <f t="shared" si="24"/>
        <v>-2.1181164997103448</v>
      </c>
      <c r="E320">
        <f t="shared" si="21"/>
        <v>17.613601131081133</v>
      </c>
      <c r="F320">
        <f t="shared" si="22"/>
        <v>0.91764886891886732</v>
      </c>
      <c r="H320">
        <f t="shared" si="23"/>
        <v>0.91764886891886732</v>
      </c>
    </row>
    <row r="321" spans="1:8" x14ac:dyDescent="0.25">
      <c r="A321">
        <v>20.65625</v>
      </c>
      <c r="B321">
        <v>19.844718658141954</v>
      </c>
      <c r="C321">
        <f t="shared" si="20"/>
        <v>0.81153134185804632</v>
      </c>
      <c r="D321">
        <f t="shared" si="24"/>
        <v>0.1985211030771139</v>
      </c>
      <c r="E321">
        <f t="shared" si="21"/>
        <v>20.043239761219066</v>
      </c>
      <c r="F321">
        <f t="shared" si="22"/>
        <v>0.61301023878093375</v>
      </c>
      <c r="H321">
        <f t="shared" si="23"/>
        <v>0.61301023878093375</v>
      </c>
    </row>
    <row r="322" spans="1:8" x14ac:dyDescent="0.25">
      <c r="A322">
        <v>20.95</v>
      </c>
      <c r="B322">
        <v>19.956717329252346</v>
      </c>
      <c r="C322">
        <f t="shared" si="20"/>
        <v>0.99328267074765364</v>
      </c>
      <c r="D322">
        <f t="shared" si="24"/>
        <v>0.70601570958942883</v>
      </c>
      <c r="E322">
        <f t="shared" si="21"/>
        <v>20.662733038841775</v>
      </c>
      <c r="F322">
        <f t="shared" si="22"/>
        <v>0.28726696115822392</v>
      </c>
      <c r="H322">
        <f t="shared" si="23"/>
        <v>0.28726696115822392</v>
      </c>
    </row>
    <row r="323" spans="1:8" x14ac:dyDescent="0.25">
      <c r="A323">
        <v>18.8</v>
      </c>
      <c r="B323">
        <v>20.067680456499271</v>
      </c>
      <c r="C323">
        <f t="shared" ref="C323:C366" si="25">A323-B323</f>
        <v>-1.2676804564992707</v>
      </c>
      <c r="D323">
        <f t="shared" si="24"/>
        <v>0.40526668686245304</v>
      </c>
      <c r="E323">
        <f t="shared" si="21"/>
        <v>20.472947143361726</v>
      </c>
      <c r="F323">
        <f t="shared" si="22"/>
        <v>-1.6729471433617249</v>
      </c>
      <c r="H323">
        <f t="shared" si="23"/>
        <v>1.6729471433617249</v>
      </c>
    </row>
    <row r="324" spans="1:8" x14ac:dyDescent="0.25">
      <c r="A324">
        <v>21.056249999999999</v>
      </c>
      <c r="B324">
        <v>20.177575159113346</v>
      </c>
      <c r="C324">
        <f t="shared" si="25"/>
        <v>0.87867484088665293</v>
      </c>
      <c r="D324">
        <f t="shared" si="24"/>
        <v>-1.2731992979355946</v>
      </c>
      <c r="E324">
        <f t="shared" ref="E324:E366" si="26">B324+D324</f>
        <v>18.904375861177751</v>
      </c>
      <c r="F324">
        <f t="shared" ref="F324:F366" si="27">A324-E324</f>
        <v>2.1518741388222473</v>
      </c>
      <c r="H324">
        <f t="shared" ref="H324:H366" si="28">ABS(F324)</f>
        <v>2.1518741388222473</v>
      </c>
    </row>
    <row r="325" spans="1:8" x14ac:dyDescent="0.25">
      <c r="A325">
        <v>16.2</v>
      </c>
      <c r="B325">
        <v>20.28636887292247</v>
      </c>
      <c r="C325">
        <f t="shared" si="25"/>
        <v>-4.0863688729224705</v>
      </c>
      <c r="D325">
        <f t="shared" si="24"/>
        <v>1.2955498408901887</v>
      </c>
      <c r="E325">
        <f t="shared" si="26"/>
        <v>21.581918713812659</v>
      </c>
      <c r="F325">
        <f t="shared" si="27"/>
        <v>-5.3819187138126594</v>
      </c>
      <c r="H325">
        <f t="shared" si="28"/>
        <v>5.3819187138126594</v>
      </c>
    </row>
    <row r="326" spans="1:8" x14ac:dyDescent="0.25">
      <c r="A326">
        <v>15.793749999999999</v>
      </c>
      <c r="B326">
        <v>20.394029360001277</v>
      </c>
      <c r="C326">
        <f t="shared" si="25"/>
        <v>-4.6002793600012772</v>
      </c>
      <c r="D326">
        <f t="shared" ref="D326:D366" si="29">$J$1*C325+$J$2*C324+$J$3*C323</f>
        <v>-3.9265190239830567</v>
      </c>
      <c r="E326">
        <f t="shared" si="26"/>
        <v>16.467510336018218</v>
      </c>
      <c r="F326">
        <f t="shared" si="27"/>
        <v>-0.67376033601821916</v>
      </c>
      <c r="H326">
        <f t="shared" si="28"/>
        <v>0.67376033601821916</v>
      </c>
    </row>
    <row r="327" spans="1:8" x14ac:dyDescent="0.25">
      <c r="A327">
        <v>15.5375</v>
      </c>
      <c r="B327">
        <v>20.500524718223936</v>
      </c>
      <c r="C327">
        <f t="shared" si="25"/>
        <v>-4.9630247182239362</v>
      </c>
      <c r="D327">
        <f t="shared" si="29"/>
        <v>-2.4557236143773054</v>
      </c>
      <c r="E327">
        <f t="shared" si="26"/>
        <v>18.04480110384663</v>
      </c>
      <c r="F327">
        <f t="shared" si="27"/>
        <v>-2.5073011038466309</v>
      </c>
      <c r="H327">
        <f t="shared" si="28"/>
        <v>2.5073011038466309</v>
      </c>
    </row>
    <row r="328" spans="1:8" x14ac:dyDescent="0.25">
      <c r="A328">
        <v>18.168749999999999</v>
      </c>
      <c r="B328">
        <v>20.605823390717457</v>
      </c>
      <c r="C328">
        <f t="shared" si="25"/>
        <v>-2.4370733907174582</v>
      </c>
      <c r="D328">
        <f t="shared" si="29"/>
        <v>-3.3234056280299473</v>
      </c>
      <c r="E328">
        <f t="shared" si="26"/>
        <v>17.282417762687508</v>
      </c>
      <c r="F328">
        <f t="shared" si="27"/>
        <v>0.88633223731249089</v>
      </c>
      <c r="H328">
        <f t="shared" si="28"/>
        <v>0.88633223731249089</v>
      </c>
    </row>
    <row r="329" spans="1:8" x14ac:dyDescent="0.25">
      <c r="A329">
        <v>18.006250000000001</v>
      </c>
      <c r="B329">
        <v>20.709894175212643</v>
      </c>
      <c r="C329">
        <f t="shared" si="25"/>
        <v>-2.7036441752126414</v>
      </c>
      <c r="D329">
        <f t="shared" si="29"/>
        <v>-1.1436851199431703</v>
      </c>
      <c r="E329">
        <f t="shared" si="26"/>
        <v>19.566209055269471</v>
      </c>
      <c r="F329">
        <f t="shared" si="27"/>
        <v>-1.55995905526947</v>
      </c>
      <c r="H329">
        <f t="shared" si="28"/>
        <v>1.55995905526947</v>
      </c>
    </row>
    <row r="330" spans="1:8" x14ac:dyDescent="0.25">
      <c r="A330">
        <v>18.068750000000001</v>
      </c>
      <c r="B330">
        <v>20.812706233290022</v>
      </c>
      <c r="C330">
        <f t="shared" si="25"/>
        <v>-2.7439562332900209</v>
      </c>
      <c r="D330">
        <f t="shared" si="29"/>
        <v>-2.2324336336644501</v>
      </c>
      <c r="E330">
        <f t="shared" si="26"/>
        <v>18.580272599625573</v>
      </c>
      <c r="F330">
        <f t="shared" si="27"/>
        <v>-0.51152259962557167</v>
      </c>
      <c r="H330">
        <f t="shared" si="28"/>
        <v>0.51152259962557167</v>
      </c>
    </row>
    <row r="331" spans="1:8" x14ac:dyDescent="0.25">
      <c r="A331">
        <v>21.931249999999999</v>
      </c>
      <c r="B331">
        <v>20.914229099517918</v>
      </c>
      <c r="C331">
        <f t="shared" si="25"/>
        <v>1.0170209004820805</v>
      </c>
      <c r="D331">
        <f t="shared" si="29"/>
        <v>-1.8120310824964585</v>
      </c>
      <c r="E331">
        <f t="shared" si="26"/>
        <v>19.102198017021461</v>
      </c>
      <c r="F331">
        <f t="shared" si="27"/>
        <v>2.8290519829785374</v>
      </c>
      <c r="H331">
        <f t="shared" si="28"/>
        <v>2.8290519829785374</v>
      </c>
    </row>
    <row r="332" spans="1:8" x14ac:dyDescent="0.25">
      <c r="A332">
        <v>23.881250000000001</v>
      </c>
      <c r="B332">
        <v>21.014432690480017</v>
      </c>
      <c r="C332">
        <f t="shared" si="25"/>
        <v>2.866817309519984</v>
      </c>
      <c r="D332">
        <f t="shared" si="29"/>
        <v>1.3459942443656723</v>
      </c>
      <c r="E332">
        <f t="shared" si="26"/>
        <v>22.360426934845691</v>
      </c>
      <c r="F332">
        <f t="shared" si="27"/>
        <v>1.5208230651543104</v>
      </c>
      <c r="H332">
        <f t="shared" si="28"/>
        <v>1.5208230651543104</v>
      </c>
    </row>
    <row r="333" spans="1:8" x14ac:dyDescent="0.25">
      <c r="A333">
        <v>19.862500000000001</v>
      </c>
      <c r="B333">
        <v>21.11328731368976</v>
      </c>
      <c r="C333">
        <f t="shared" si="25"/>
        <v>-1.2507873136897594</v>
      </c>
      <c r="D333">
        <f t="shared" si="29"/>
        <v>1.6999969257713436</v>
      </c>
      <c r="E333">
        <f t="shared" si="26"/>
        <v>22.813284239461105</v>
      </c>
      <c r="F333">
        <f t="shared" si="27"/>
        <v>-2.9507842394611039</v>
      </c>
      <c r="H333">
        <f t="shared" si="28"/>
        <v>2.9507842394611039</v>
      </c>
    </row>
    <row r="334" spans="1:8" x14ac:dyDescent="0.25">
      <c r="A334">
        <v>19.137499999999999</v>
      </c>
      <c r="B334">
        <v>21.210763676388815</v>
      </c>
      <c r="C334">
        <f t="shared" si="25"/>
        <v>-2.0732636763888159</v>
      </c>
      <c r="D334">
        <f t="shared" si="29"/>
        <v>-1.8297180973723772</v>
      </c>
      <c r="E334">
        <f t="shared" si="26"/>
        <v>19.381045579016437</v>
      </c>
      <c r="F334">
        <f t="shared" si="27"/>
        <v>-0.24354557901643759</v>
      </c>
      <c r="H334">
        <f t="shared" si="28"/>
        <v>0.24354557901643759</v>
      </c>
    </row>
    <row r="335" spans="1:8" x14ac:dyDescent="0.25">
      <c r="A335">
        <v>18.850000000000001</v>
      </c>
      <c r="B335">
        <v>21.30683289422722</v>
      </c>
      <c r="C335">
        <f t="shared" si="25"/>
        <v>-2.4568328942272188</v>
      </c>
      <c r="D335">
        <f t="shared" si="29"/>
        <v>-0.93525552800959599</v>
      </c>
      <c r="E335">
        <f t="shared" si="26"/>
        <v>20.371577366217625</v>
      </c>
      <c r="F335">
        <f t="shared" si="27"/>
        <v>-1.521577366217624</v>
      </c>
      <c r="H335">
        <f t="shared" si="28"/>
        <v>1.521577366217624</v>
      </c>
    </row>
    <row r="336" spans="1:8" x14ac:dyDescent="0.25">
      <c r="A336">
        <v>22.862500000000001</v>
      </c>
      <c r="B336">
        <v>21.401466499822376</v>
      </c>
      <c r="C336">
        <f t="shared" si="25"/>
        <v>1.4610335001776242</v>
      </c>
      <c r="D336">
        <f t="shared" si="29"/>
        <v>-1.5977990937649442</v>
      </c>
      <c r="E336">
        <f t="shared" si="26"/>
        <v>19.803667406057432</v>
      </c>
      <c r="F336">
        <f t="shared" si="27"/>
        <v>3.0588325939425687</v>
      </c>
      <c r="H336">
        <f t="shared" si="28"/>
        <v>3.0588325939425687</v>
      </c>
    </row>
    <row r="337" spans="1:8" x14ac:dyDescent="0.25">
      <c r="A337">
        <v>24.25</v>
      </c>
      <c r="B337">
        <v>21.494636451194584</v>
      </c>
      <c r="C337">
        <f t="shared" si="25"/>
        <v>2.7553635488054162</v>
      </c>
      <c r="D337">
        <f t="shared" si="29"/>
        <v>1.7219134473086399</v>
      </c>
      <c r="E337">
        <f t="shared" si="26"/>
        <v>23.216549898503224</v>
      </c>
      <c r="F337">
        <f t="shared" si="27"/>
        <v>1.0334501014967756</v>
      </c>
      <c r="H337">
        <f t="shared" si="28"/>
        <v>1.0334501014967756</v>
      </c>
    </row>
    <row r="338" spans="1:8" x14ac:dyDescent="0.25">
      <c r="A338">
        <v>26.650010000000002</v>
      </c>
      <c r="B338">
        <v>21.586315140076486</v>
      </c>
      <c r="C338">
        <f t="shared" si="25"/>
        <v>5.0636948599235154</v>
      </c>
      <c r="D338">
        <f t="shared" si="29"/>
        <v>1.505194051065105</v>
      </c>
      <c r="E338">
        <f t="shared" si="26"/>
        <v>23.09150919114159</v>
      </c>
      <c r="F338">
        <f t="shared" si="27"/>
        <v>3.5585008088584118</v>
      </c>
      <c r="H338">
        <f t="shared" si="28"/>
        <v>3.5585008088584118</v>
      </c>
    </row>
    <row r="339" spans="1:8" x14ac:dyDescent="0.25">
      <c r="A339">
        <v>20.018750000000001</v>
      </c>
      <c r="B339">
        <v>21.67647540009397</v>
      </c>
      <c r="C339">
        <f t="shared" si="25"/>
        <v>-1.6577254000939696</v>
      </c>
      <c r="D339">
        <f t="shared" si="29"/>
        <v>3.6167359726853019</v>
      </c>
      <c r="E339">
        <f t="shared" si="26"/>
        <v>25.293211372779272</v>
      </c>
      <c r="F339">
        <f t="shared" si="27"/>
        <v>-5.2744613727792711</v>
      </c>
      <c r="H339">
        <f t="shared" si="28"/>
        <v>5.2744613727792711</v>
      </c>
    </row>
    <row r="340" spans="1:8" x14ac:dyDescent="0.25">
      <c r="A340">
        <v>23.537500000000001</v>
      </c>
      <c r="B340">
        <v>21.765090514816187</v>
      </c>
      <c r="C340">
        <f t="shared" si="25"/>
        <v>1.7724094851838146</v>
      </c>
      <c r="D340">
        <f t="shared" si="29"/>
        <v>-2.6247986508165546</v>
      </c>
      <c r="E340">
        <f t="shared" si="26"/>
        <v>19.140291863999632</v>
      </c>
      <c r="F340">
        <f t="shared" si="27"/>
        <v>4.3972081360003692</v>
      </c>
      <c r="H340">
        <f t="shared" si="28"/>
        <v>4.3972081360003692</v>
      </c>
    </row>
    <row r="341" spans="1:8" x14ac:dyDescent="0.25">
      <c r="A341">
        <v>22.768750000000001</v>
      </c>
      <c r="B341">
        <v>21.852134225672163</v>
      </c>
      <c r="C341">
        <f t="shared" si="25"/>
        <v>0.91661577432783758</v>
      </c>
      <c r="D341">
        <f t="shared" si="29"/>
        <v>2.7719602250015791</v>
      </c>
      <c r="E341">
        <f t="shared" si="26"/>
        <v>24.624094450673741</v>
      </c>
      <c r="F341">
        <f t="shared" si="27"/>
        <v>-1.8553444506737407</v>
      </c>
      <c r="H341">
        <f t="shared" si="28"/>
        <v>1.8553444506737407</v>
      </c>
    </row>
    <row r="342" spans="1:8" x14ac:dyDescent="0.25">
      <c r="A342">
        <v>24.725010000000001</v>
      </c>
      <c r="B342">
        <v>21.937580739731818</v>
      </c>
      <c r="C342">
        <f t="shared" si="25"/>
        <v>2.7874292602681834</v>
      </c>
      <c r="D342">
        <f t="shared" si="29"/>
        <v>-3.4598488306231051E-2</v>
      </c>
      <c r="E342">
        <f t="shared" si="26"/>
        <v>21.902982251425588</v>
      </c>
      <c r="F342">
        <f t="shared" si="27"/>
        <v>2.8220277485744134</v>
      </c>
      <c r="H342">
        <f t="shared" si="28"/>
        <v>2.8220277485744134</v>
      </c>
    </row>
    <row r="343" spans="1:8" x14ac:dyDescent="0.25">
      <c r="A343">
        <v>25.806249999999999</v>
      </c>
      <c r="B343">
        <v>22.021404737348952</v>
      </c>
      <c r="C343">
        <f t="shared" si="25"/>
        <v>3.7848452626510465</v>
      </c>
      <c r="D343">
        <f t="shared" si="29"/>
        <v>2.3248279587014622</v>
      </c>
      <c r="E343">
        <f t="shared" si="26"/>
        <v>24.346232696050414</v>
      </c>
      <c r="F343">
        <f t="shared" si="27"/>
        <v>1.4600173039495843</v>
      </c>
      <c r="H343">
        <f t="shared" si="28"/>
        <v>1.4600173039495843</v>
      </c>
    </row>
    <row r="344" spans="1:8" x14ac:dyDescent="0.25">
      <c r="A344">
        <v>27.368749999999999</v>
      </c>
      <c r="B344">
        <v>22.103581379663993</v>
      </c>
      <c r="C344">
        <f t="shared" si="25"/>
        <v>5.2651686203360057</v>
      </c>
      <c r="D344">
        <f t="shared" si="29"/>
        <v>2.4442390002216667</v>
      </c>
      <c r="E344">
        <f t="shared" si="26"/>
        <v>24.54782037988566</v>
      </c>
      <c r="F344">
        <f t="shared" si="27"/>
        <v>2.8209296201143381</v>
      </c>
      <c r="H344">
        <f t="shared" si="28"/>
        <v>2.8209296201143381</v>
      </c>
    </row>
    <row r="345" spans="1:8" x14ac:dyDescent="0.25">
      <c r="A345">
        <v>19.34375</v>
      </c>
      <c r="B345">
        <v>22.184086315964318</v>
      </c>
      <c r="C345">
        <f t="shared" si="25"/>
        <v>-2.8403363159643185</v>
      </c>
      <c r="D345">
        <f t="shared" si="29"/>
        <v>3.6509352931694536</v>
      </c>
      <c r="E345">
        <f t="shared" si="26"/>
        <v>25.835021609133772</v>
      </c>
      <c r="F345">
        <f t="shared" si="27"/>
        <v>-6.4912716091337721</v>
      </c>
      <c r="H345">
        <f t="shared" si="28"/>
        <v>6.4912716091337721</v>
      </c>
    </row>
    <row r="346" spans="1:8" x14ac:dyDescent="0.25">
      <c r="A346">
        <v>19.675000000000001</v>
      </c>
      <c r="B346">
        <v>22.262895690899853</v>
      </c>
      <c r="C346">
        <f t="shared" si="25"/>
        <v>-2.5878956908998525</v>
      </c>
      <c r="D346">
        <f t="shared" si="29"/>
        <v>-3.5402024087638315</v>
      </c>
      <c r="E346">
        <f t="shared" si="26"/>
        <v>18.722693282136021</v>
      </c>
      <c r="F346">
        <f t="shared" si="27"/>
        <v>0.95230671786397991</v>
      </c>
      <c r="H346">
        <f t="shared" si="28"/>
        <v>0.95230671786397991</v>
      </c>
    </row>
    <row r="347" spans="1:8" x14ac:dyDescent="0.25">
      <c r="A347">
        <v>21.625</v>
      </c>
      <c r="B347">
        <v>22.339986151551962</v>
      </c>
      <c r="C347">
        <f t="shared" si="25"/>
        <v>-0.71498615155196177</v>
      </c>
      <c r="D347">
        <f t="shared" si="29"/>
        <v>-0.51077549995496774</v>
      </c>
      <c r="E347">
        <f t="shared" si="26"/>
        <v>21.829210651596995</v>
      </c>
      <c r="F347">
        <f t="shared" si="27"/>
        <v>-0.20421065159699481</v>
      </c>
      <c r="H347">
        <f t="shared" si="28"/>
        <v>0.20421065159699481</v>
      </c>
    </row>
    <row r="348" spans="1:8" x14ac:dyDescent="0.25">
      <c r="A348">
        <v>25.03125</v>
      </c>
      <c r="B348">
        <v>22.415334854353404</v>
      </c>
      <c r="C348">
        <f t="shared" si="25"/>
        <v>2.6159151456465963</v>
      </c>
      <c r="D348">
        <f t="shared" si="29"/>
        <v>-0.19034226359469519</v>
      </c>
      <c r="E348">
        <f t="shared" si="26"/>
        <v>22.22499259075871</v>
      </c>
      <c r="F348">
        <f t="shared" si="27"/>
        <v>2.8062574092412902</v>
      </c>
      <c r="H348">
        <f t="shared" si="28"/>
        <v>2.8062574092412902</v>
      </c>
    </row>
    <row r="349" spans="1:8" x14ac:dyDescent="0.25">
      <c r="A349">
        <v>18.368749999999999</v>
      </c>
      <c r="B349">
        <v>22.488919471857383</v>
      </c>
      <c r="C349">
        <f t="shared" si="25"/>
        <v>-4.120169471857384</v>
      </c>
      <c r="D349">
        <f t="shared" si="29"/>
        <v>2.0658382606666539</v>
      </c>
      <c r="E349">
        <f t="shared" si="26"/>
        <v>24.554757732524038</v>
      </c>
      <c r="F349">
        <f t="shared" si="27"/>
        <v>-6.1860077325240397</v>
      </c>
      <c r="H349">
        <f t="shared" si="28"/>
        <v>6.1860077325240397</v>
      </c>
    </row>
    <row r="350" spans="1:8" x14ac:dyDescent="0.25">
      <c r="A350">
        <v>17.15625</v>
      </c>
      <c r="B350">
        <v>22.560718199353644</v>
      </c>
      <c r="C350">
        <f t="shared" si="25"/>
        <v>-5.4044681993536443</v>
      </c>
      <c r="D350">
        <f t="shared" si="29"/>
        <v>-4.4315189388250662</v>
      </c>
      <c r="E350">
        <f t="shared" si="26"/>
        <v>18.12919926052858</v>
      </c>
      <c r="F350">
        <f t="shared" si="27"/>
        <v>-0.97294926052857988</v>
      </c>
      <c r="H350">
        <f t="shared" si="28"/>
        <v>0.97294926052857988</v>
      </c>
    </row>
    <row r="351" spans="1:8" x14ac:dyDescent="0.25">
      <c r="A351">
        <v>19.462499999999999</v>
      </c>
      <c r="B351">
        <v>22.63070976132969</v>
      </c>
      <c r="C351">
        <f t="shared" si="25"/>
        <v>-3.1682097613296918</v>
      </c>
      <c r="D351">
        <f t="shared" si="29"/>
        <v>-2.8718992251691646</v>
      </c>
      <c r="E351">
        <f t="shared" si="26"/>
        <v>19.758810536160524</v>
      </c>
      <c r="F351">
        <f t="shared" si="27"/>
        <v>-0.29631053616052583</v>
      </c>
      <c r="H351">
        <f t="shared" si="28"/>
        <v>0.29631053616052583</v>
      </c>
    </row>
    <row r="352" spans="1:8" x14ac:dyDescent="0.25">
      <c r="A352">
        <v>20.293749999999999</v>
      </c>
      <c r="B352">
        <v>22.698873417775161</v>
      </c>
      <c r="C352">
        <f t="shared" si="25"/>
        <v>-2.4051234177751617</v>
      </c>
      <c r="D352">
        <f t="shared" si="29"/>
        <v>-1.5509501922473672</v>
      </c>
      <c r="E352">
        <f t="shared" si="26"/>
        <v>21.147923225527794</v>
      </c>
      <c r="F352">
        <f t="shared" si="27"/>
        <v>-0.85417322552779495</v>
      </c>
      <c r="H352">
        <f t="shared" si="28"/>
        <v>0.85417322552779495</v>
      </c>
    </row>
    <row r="353" spans="1:8" x14ac:dyDescent="0.25">
      <c r="A353">
        <v>19.387499999999999</v>
      </c>
      <c r="B353">
        <v>22.765188970327568</v>
      </c>
      <c r="C353">
        <f t="shared" si="25"/>
        <v>-3.3776889703275685</v>
      </c>
      <c r="D353">
        <f t="shared" si="29"/>
        <v>-1.8097254189555874</v>
      </c>
      <c r="E353">
        <f t="shared" si="26"/>
        <v>20.955463551371981</v>
      </c>
      <c r="F353">
        <f t="shared" si="27"/>
        <v>-1.5679635513719816</v>
      </c>
      <c r="H353">
        <f t="shared" si="28"/>
        <v>1.5679635513719816</v>
      </c>
    </row>
    <row r="354" spans="1:8" x14ac:dyDescent="0.25">
      <c r="A354">
        <v>17.481249999999999</v>
      </c>
      <c r="B354">
        <v>22.829636768257473</v>
      </c>
      <c r="C354">
        <f t="shared" si="25"/>
        <v>-5.3483867682574733</v>
      </c>
      <c r="D354">
        <f t="shared" si="29"/>
        <v>-2.5511038483290935</v>
      </c>
      <c r="E354">
        <f t="shared" si="26"/>
        <v>20.278532919928381</v>
      </c>
      <c r="F354">
        <f t="shared" si="27"/>
        <v>-2.7972829199283815</v>
      </c>
      <c r="H354">
        <f t="shared" si="28"/>
        <v>2.7972829199283815</v>
      </c>
    </row>
    <row r="355" spans="1:8" x14ac:dyDescent="0.25">
      <c r="A355">
        <v>19.350000000000001</v>
      </c>
      <c r="B355">
        <v>22.892197714291456</v>
      </c>
      <c r="C355">
        <f t="shared" si="25"/>
        <v>-3.5421977142914542</v>
      </c>
      <c r="D355">
        <f t="shared" si="29"/>
        <v>-3.7961079165596772</v>
      </c>
      <c r="E355">
        <f t="shared" si="26"/>
        <v>19.096089797731779</v>
      </c>
      <c r="F355">
        <f t="shared" si="27"/>
        <v>0.25391020226822292</v>
      </c>
      <c r="H355">
        <f t="shared" si="28"/>
        <v>0.25391020226822292</v>
      </c>
    </row>
    <row r="356" spans="1:8" x14ac:dyDescent="0.25">
      <c r="A356">
        <v>27.206250000000001</v>
      </c>
      <c r="B356">
        <v>22.952853270271035</v>
      </c>
      <c r="C356">
        <f t="shared" si="25"/>
        <v>4.2533967297289657</v>
      </c>
      <c r="D356">
        <f t="shared" si="29"/>
        <v>-1.7770773069038313</v>
      </c>
      <c r="E356">
        <f t="shared" si="26"/>
        <v>21.175775963367204</v>
      </c>
      <c r="F356">
        <f t="shared" si="27"/>
        <v>6.0304740366327962</v>
      </c>
      <c r="H356">
        <f t="shared" si="28"/>
        <v>6.0304740366327962</v>
      </c>
    </row>
    <row r="357" spans="1:8" x14ac:dyDescent="0.25">
      <c r="A357">
        <v>21.71875</v>
      </c>
      <c r="B357">
        <v>23.011585462645911</v>
      </c>
      <c r="C357">
        <f t="shared" si="25"/>
        <v>-1.2928354626459111</v>
      </c>
      <c r="D357">
        <f t="shared" si="29"/>
        <v>3.9555091715193953</v>
      </c>
      <c r="E357">
        <f t="shared" si="26"/>
        <v>26.967094634165306</v>
      </c>
      <c r="F357">
        <f t="shared" si="27"/>
        <v>-5.2483446341653064</v>
      </c>
      <c r="H357">
        <f t="shared" si="28"/>
        <v>5.2483446341653064</v>
      </c>
    </row>
    <row r="358" spans="1:8" x14ac:dyDescent="0.25">
      <c r="A358">
        <v>24.375</v>
      </c>
      <c r="B358">
        <v>23.06837688779995</v>
      </c>
      <c r="C358">
        <f t="shared" si="25"/>
        <v>1.3066231122000502</v>
      </c>
      <c r="D358">
        <f t="shared" si="29"/>
        <v>-2.9760939199580889</v>
      </c>
      <c r="E358">
        <f t="shared" si="26"/>
        <v>20.092282967841861</v>
      </c>
      <c r="F358">
        <f t="shared" si="27"/>
        <v>4.2827170321581391</v>
      </c>
      <c r="H358">
        <f t="shared" si="28"/>
        <v>4.2827170321581391</v>
      </c>
    </row>
    <row r="359" spans="1:8" x14ac:dyDescent="0.25">
      <c r="A359">
        <v>25.71875</v>
      </c>
      <c r="B359">
        <v>23.123210717208206</v>
      </c>
      <c r="C359">
        <f t="shared" si="25"/>
        <v>2.595539282791794</v>
      </c>
      <c r="D359">
        <f t="shared" si="29"/>
        <v>2.142220721872508</v>
      </c>
      <c r="E359">
        <f t="shared" si="26"/>
        <v>25.265431439080714</v>
      </c>
      <c r="F359">
        <f t="shared" si="27"/>
        <v>0.45331856091928557</v>
      </c>
      <c r="H359">
        <f t="shared" si="28"/>
        <v>0.45331856091928557</v>
      </c>
    </row>
    <row r="360" spans="1:8" x14ac:dyDescent="0.25">
      <c r="A360">
        <v>29.568750000000001</v>
      </c>
      <c r="B360">
        <v>23.17607070242363</v>
      </c>
      <c r="C360">
        <f t="shared" si="25"/>
        <v>6.3926792975763718</v>
      </c>
      <c r="D360">
        <f t="shared" si="29"/>
        <v>1.589466263636409</v>
      </c>
      <c r="E360">
        <f t="shared" si="26"/>
        <v>24.76553696606004</v>
      </c>
      <c r="F360">
        <f t="shared" si="27"/>
        <v>4.8032130339399615</v>
      </c>
      <c r="H360">
        <f t="shared" si="28"/>
        <v>4.8032130339399615</v>
      </c>
    </row>
    <row r="361" spans="1:8" x14ac:dyDescent="0.25">
      <c r="A361">
        <v>25.887499999999999</v>
      </c>
      <c r="B361">
        <v>23.226941179891778</v>
      </c>
      <c r="C361">
        <f t="shared" si="25"/>
        <v>2.6605588201082213</v>
      </c>
      <c r="D361">
        <f t="shared" si="29"/>
        <v>4.7705504820292557</v>
      </c>
      <c r="E361">
        <f t="shared" si="26"/>
        <v>27.997491661921032</v>
      </c>
      <c r="F361">
        <f t="shared" si="27"/>
        <v>-2.1099916619210326</v>
      </c>
      <c r="H361">
        <f t="shared" si="28"/>
        <v>2.1099916619210326</v>
      </c>
    </row>
    <row r="362" spans="1:8" x14ac:dyDescent="0.25">
      <c r="A362">
        <v>18.962499999999999</v>
      </c>
      <c r="B362">
        <v>23.275807075592304</v>
      </c>
      <c r="C362">
        <f t="shared" si="25"/>
        <v>-4.3133070755923058</v>
      </c>
      <c r="D362">
        <f t="shared" si="29"/>
        <v>0.58150513558675898</v>
      </c>
      <c r="E362">
        <f t="shared" si="26"/>
        <v>23.857312211179064</v>
      </c>
      <c r="F362">
        <f t="shared" si="27"/>
        <v>-4.8948122111790653</v>
      </c>
      <c r="H362">
        <f t="shared" si="28"/>
        <v>4.8948122111790653</v>
      </c>
    </row>
    <row r="363" spans="1:8" x14ac:dyDescent="0.25">
      <c r="A363">
        <v>18.768750000000001</v>
      </c>
      <c r="B363">
        <v>23.322653909505703</v>
      </c>
      <c r="C363">
        <f t="shared" si="25"/>
        <v>-4.5539039095057028</v>
      </c>
      <c r="D363">
        <f t="shared" si="29"/>
        <v>-3.5709165384292447</v>
      </c>
      <c r="E363">
        <f t="shared" si="26"/>
        <v>19.751737371076459</v>
      </c>
      <c r="F363">
        <f t="shared" si="27"/>
        <v>-0.98298737107645806</v>
      </c>
      <c r="H363">
        <f t="shared" si="28"/>
        <v>0.98298737107645806</v>
      </c>
    </row>
    <row r="364" spans="1:8" x14ac:dyDescent="0.25">
      <c r="A364">
        <v>21.975000000000001</v>
      </c>
      <c r="B364">
        <v>23.367467799904048</v>
      </c>
      <c r="C364">
        <f t="shared" si="25"/>
        <v>-1.3924677999040469</v>
      </c>
      <c r="D364">
        <f t="shared" si="29"/>
        <v>-2.0833498270272646</v>
      </c>
      <c r="E364">
        <f t="shared" si="26"/>
        <v>21.284117972876786</v>
      </c>
      <c r="F364">
        <f t="shared" si="27"/>
        <v>0.69088202712321589</v>
      </c>
      <c r="H364">
        <f t="shared" si="28"/>
        <v>0.69088202712321589</v>
      </c>
    </row>
    <row r="365" spans="1:8" x14ac:dyDescent="0.25">
      <c r="A365">
        <v>22.45</v>
      </c>
      <c r="B365">
        <v>23.410235467464449</v>
      </c>
      <c r="C365">
        <f t="shared" si="25"/>
        <v>-0.96023546746445021</v>
      </c>
      <c r="D365">
        <f t="shared" si="29"/>
        <v>-0.34860041936432329</v>
      </c>
      <c r="E365">
        <f t="shared" si="26"/>
        <v>23.061635048100126</v>
      </c>
      <c r="F365">
        <f t="shared" si="27"/>
        <v>-0.61163504810012626</v>
      </c>
      <c r="H365">
        <f t="shared" si="28"/>
        <v>0.61163504810012626</v>
      </c>
    </row>
    <row r="366" spans="1:8" x14ac:dyDescent="0.25">
      <c r="A366">
        <v>17.45</v>
      </c>
      <c r="B366">
        <v>23.450944239204009</v>
      </c>
      <c r="C366">
        <f t="shared" si="25"/>
        <v>-6.00094423920401</v>
      </c>
      <c r="D366">
        <f t="shared" si="29"/>
        <v>-1.0316962845049589</v>
      </c>
      <c r="E366">
        <f t="shared" si="26"/>
        <v>22.419247954699049</v>
      </c>
      <c r="F366">
        <f t="shared" si="27"/>
        <v>-4.9692479546990498</v>
      </c>
      <c r="H366">
        <f t="shared" si="28"/>
        <v>4.9692479546990498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A3DF-870C-4384-B348-FA531D79FE10}">
  <dimension ref="A1:K370"/>
  <sheetViews>
    <sheetView zoomScale="109" workbookViewId="0">
      <selection activeCell="D5" sqref="D5:D370"/>
    </sheetView>
  </sheetViews>
  <sheetFormatPr defaultRowHeight="15" x14ac:dyDescent="0.25"/>
  <sheetData>
    <row r="1" spans="1:11" x14ac:dyDescent="0.25">
      <c r="A1" t="s">
        <v>7</v>
      </c>
      <c r="C1">
        <f>2*PI()/365</f>
        <v>1.7214206321039961E-2</v>
      </c>
      <c r="E1" t="s">
        <v>10</v>
      </c>
      <c r="H1">
        <v>0.20119999999999999</v>
      </c>
      <c r="J1" t="s">
        <v>15</v>
      </c>
      <c r="K1" t="s">
        <v>17</v>
      </c>
    </row>
    <row r="2" spans="1:11" x14ac:dyDescent="0.25">
      <c r="A2">
        <f>AVERAGE(A6:A370)</f>
        <v>4.8808027397260219</v>
      </c>
      <c r="C2">
        <v>2.4508018142916268</v>
      </c>
      <c r="E2">
        <f>SUM(E6:E370)</f>
        <v>400.25669561362264</v>
      </c>
      <c r="J2">
        <f>AVERAGE(I7:I370)</f>
        <v>-2.3608172312870692E-3</v>
      </c>
      <c r="K2">
        <f>AVERAGE(J7:J370)</f>
        <v>0.73199832688284527</v>
      </c>
    </row>
    <row r="3" spans="1:11" x14ac:dyDescent="0.25">
      <c r="C3">
        <v>-0.40991873638715909</v>
      </c>
      <c r="J3" t="s">
        <v>18</v>
      </c>
      <c r="K3" t="s">
        <v>19</v>
      </c>
    </row>
    <row r="4" spans="1:11" x14ac:dyDescent="0.25">
      <c r="J4">
        <f>J2/A2</f>
        <v>-4.8369445707604873E-4</v>
      </c>
      <c r="K4">
        <f>K2/A2</f>
        <v>0.14997498688585295</v>
      </c>
    </row>
    <row r="5" spans="1:11" ht="15.75" x14ac:dyDescent="0.25">
      <c r="A5" s="1" t="s">
        <v>3</v>
      </c>
      <c r="B5" t="s">
        <v>6</v>
      </c>
      <c r="D5" t="s">
        <v>8</v>
      </c>
      <c r="E5" t="s">
        <v>9</v>
      </c>
      <c r="F5" t="s">
        <v>11</v>
      </c>
      <c r="G5" t="s">
        <v>12</v>
      </c>
      <c r="H5" t="s">
        <v>13</v>
      </c>
      <c r="I5" t="s">
        <v>14</v>
      </c>
      <c r="J5" t="s">
        <v>16</v>
      </c>
    </row>
    <row r="6" spans="1:11" x14ac:dyDescent="0.25">
      <c r="A6">
        <v>7.9820000000000002</v>
      </c>
      <c r="B6">
        <v>1</v>
      </c>
      <c r="C6">
        <f>C$2*COS(C$1*B6)+C$3*SIN(C$1*B6)</f>
        <v>2.4433826243521399</v>
      </c>
      <c r="D6">
        <f>$A$2+C6</f>
        <v>7.3241853640781613</v>
      </c>
      <c r="E6">
        <f>(A6-D6)^2</f>
        <v>0.43272009523298144</v>
      </c>
      <c r="F6">
        <f>A6-D6</f>
        <v>0.65781463592183886</v>
      </c>
    </row>
    <row r="7" spans="1:11" x14ac:dyDescent="0.25">
      <c r="A7">
        <v>7.46</v>
      </c>
      <c r="B7">
        <f>B6+1</f>
        <v>2</v>
      </c>
      <c r="C7">
        <f t="shared" ref="C7:C70" si="0">C$2*COS(C$1*B7)+C$3*SIN(C$1*B7)</f>
        <v>2.4352394074085417</v>
      </c>
      <c r="D7">
        <f t="shared" ref="D7:D70" si="1">$A$2+C7</f>
        <v>7.3160421471345636</v>
      </c>
      <c r="E7">
        <f t="shared" ref="E7:E70" si="2">(A7-D7)^2</f>
        <v>2.072386340162663E-2</v>
      </c>
      <c r="F7">
        <f t="shared" ref="F7:F70" si="3">A7-D7</f>
        <v>0.14395785286543639</v>
      </c>
      <c r="G7">
        <f>$H$1*F6</f>
        <v>0.13235230474747398</v>
      </c>
      <c r="H7">
        <f>D7+G7</f>
        <v>7.448394451882038</v>
      </c>
      <c r="I7">
        <f>A7-H7</f>
        <v>1.1605548117961995E-2</v>
      </c>
      <c r="J7">
        <f>ABS(I7)</f>
        <v>1.1605548117961995E-2</v>
      </c>
    </row>
    <row r="8" spans="1:11" x14ac:dyDescent="0.25">
      <c r="A8">
        <v>7.7919999999999998</v>
      </c>
      <c r="B8">
        <f t="shared" ref="B8:B71" si="4">B7+1</f>
        <v>3</v>
      </c>
      <c r="C8">
        <f t="shared" si="0"/>
        <v>2.4263745764717579</v>
      </c>
      <c r="D8">
        <f t="shared" si="1"/>
        <v>7.3071773161977802</v>
      </c>
      <c r="E8">
        <f t="shared" si="2"/>
        <v>0.23505303472918701</v>
      </c>
      <c r="F8">
        <f t="shared" si="3"/>
        <v>0.4848226838022196</v>
      </c>
      <c r="G8">
        <f t="shared" ref="G8:G71" si="5">$H$1*F7</f>
        <v>2.8964319996525798E-2</v>
      </c>
      <c r="H8">
        <f t="shared" ref="H8:H71" si="6">D8+G8</f>
        <v>7.3361416361943057</v>
      </c>
      <c r="I8">
        <f t="shared" ref="I8:I71" si="7">A8-H8</f>
        <v>0.45585836380569411</v>
      </c>
      <c r="J8">
        <f t="shared" ref="J8:J71" si="8">ABS(I8)</f>
        <v>0.45585836380569411</v>
      </c>
    </row>
    <row r="9" spans="1:11" x14ac:dyDescent="0.25">
      <c r="A9">
        <v>8.4160000000000004</v>
      </c>
      <c r="B9">
        <f t="shared" si="4"/>
        <v>4</v>
      </c>
      <c r="C9">
        <f t="shared" si="0"/>
        <v>2.416790758382513</v>
      </c>
      <c r="D9">
        <f t="shared" si="1"/>
        <v>7.2975934981085349</v>
      </c>
      <c r="E9">
        <f t="shared" si="2"/>
        <v>1.2508331034731046</v>
      </c>
      <c r="F9">
        <f t="shared" si="3"/>
        <v>1.1184065018914655</v>
      </c>
      <c r="G9">
        <f t="shared" si="5"/>
        <v>9.7546323981006572E-2</v>
      </c>
      <c r="H9">
        <f t="shared" si="6"/>
        <v>7.3951398220895417</v>
      </c>
      <c r="I9">
        <f t="shared" si="7"/>
        <v>1.0208601779104587</v>
      </c>
      <c r="J9">
        <f t="shared" si="8"/>
        <v>1.0208601779104587</v>
      </c>
    </row>
    <row r="10" spans="1:11" x14ac:dyDescent="0.25">
      <c r="A10">
        <v>8.35</v>
      </c>
      <c r="B10">
        <f t="shared" si="4"/>
        <v>5</v>
      </c>
      <c r="C10">
        <f t="shared" si="0"/>
        <v>2.4064907930329431</v>
      </c>
      <c r="D10">
        <f t="shared" si="1"/>
        <v>7.287293532758965</v>
      </c>
      <c r="E10">
        <f t="shared" si="2"/>
        <v>1.1293450355159202</v>
      </c>
      <c r="F10">
        <f t="shared" si="3"/>
        <v>1.0627064672410347</v>
      </c>
      <c r="G10">
        <f t="shared" si="5"/>
        <v>0.22502338818056286</v>
      </c>
      <c r="H10">
        <f t="shared" si="6"/>
        <v>7.5123169209395275</v>
      </c>
      <c r="I10">
        <f t="shared" si="7"/>
        <v>0.83768307906047212</v>
      </c>
      <c r="J10">
        <f t="shared" si="8"/>
        <v>0.83768307906047212</v>
      </c>
    </row>
    <row r="11" spans="1:11" x14ac:dyDescent="0.25">
      <c r="A11">
        <v>7.4580000000000002</v>
      </c>
      <c r="B11">
        <f t="shared" si="4"/>
        <v>6</v>
      </c>
      <c r="C11">
        <f t="shared" si="0"/>
        <v>2.3954777325250722</v>
      </c>
      <c r="D11">
        <f t="shared" si="1"/>
        <v>7.2762804722510941</v>
      </c>
      <c r="E11">
        <f t="shared" si="2"/>
        <v>3.3021986765285449E-2</v>
      </c>
      <c r="F11">
        <f t="shared" si="3"/>
        <v>0.1817195277489061</v>
      </c>
      <c r="G11">
        <f t="shared" si="5"/>
        <v>0.21381654120889618</v>
      </c>
      <c r="H11">
        <f t="shared" si="6"/>
        <v>7.49009701345999</v>
      </c>
      <c r="I11">
        <f t="shared" si="7"/>
        <v>-3.2097013459989832E-2</v>
      </c>
      <c r="J11">
        <f t="shared" si="8"/>
        <v>3.2097013459989832E-2</v>
      </c>
    </row>
    <row r="12" spans="1:11" x14ac:dyDescent="0.25">
      <c r="A12">
        <v>8.3699999999999992</v>
      </c>
      <c r="B12">
        <f t="shared" si="4"/>
        <v>7</v>
      </c>
      <c r="C12">
        <f t="shared" si="0"/>
        <v>2.3837548402664108</v>
      </c>
      <c r="D12">
        <f t="shared" si="1"/>
        <v>7.2645575799924327</v>
      </c>
      <c r="E12">
        <f t="shared" si="2"/>
        <v>1.2220029439521851</v>
      </c>
      <c r="F12">
        <f t="shared" si="3"/>
        <v>1.1054424200075665</v>
      </c>
      <c r="G12">
        <f t="shared" si="5"/>
        <v>3.6561968983079902E-2</v>
      </c>
      <c r="H12">
        <f t="shared" si="6"/>
        <v>7.301119548975513</v>
      </c>
      <c r="I12">
        <f t="shared" si="7"/>
        <v>1.0688804510244863</v>
      </c>
      <c r="J12">
        <f t="shared" si="8"/>
        <v>1.0688804510244863</v>
      </c>
    </row>
    <row r="13" spans="1:11" x14ac:dyDescent="0.25">
      <c r="A13">
        <v>8.4</v>
      </c>
      <c r="B13">
        <f t="shared" si="4"/>
        <v>8</v>
      </c>
      <c r="C13">
        <f t="shared" si="0"/>
        <v>2.3713255900029355</v>
      </c>
      <c r="D13">
        <f t="shared" si="1"/>
        <v>7.2521283297289578</v>
      </c>
      <c r="E13">
        <f t="shared" si="2"/>
        <v>1.317609371410833</v>
      </c>
      <c r="F13">
        <f t="shared" si="3"/>
        <v>1.1478716702710425</v>
      </c>
      <c r="G13">
        <f t="shared" si="5"/>
        <v>0.22241501490552237</v>
      </c>
      <c r="H13">
        <f t="shared" si="6"/>
        <v>7.4745433446344798</v>
      </c>
      <c r="I13">
        <f t="shared" si="7"/>
        <v>0.92545665536552058</v>
      </c>
      <c r="J13">
        <f t="shared" si="8"/>
        <v>0.92545665536552058</v>
      </c>
    </row>
    <row r="14" spans="1:11" x14ac:dyDescent="0.25">
      <c r="A14">
        <v>8.1720000000000006</v>
      </c>
      <c r="B14">
        <f t="shared" si="4"/>
        <v>9</v>
      </c>
      <c r="C14">
        <f t="shared" si="0"/>
        <v>2.3581936647897446</v>
      </c>
      <c r="D14">
        <f t="shared" si="1"/>
        <v>7.2389964045157669</v>
      </c>
      <c r="E14">
        <f t="shared" si="2"/>
        <v>0.87049570918650765</v>
      </c>
      <c r="F14">
        <f t="shared" si="3"/>
        <v>0.93300359548423373</v>
      </c>
      <c r="G14">
        <f t="shared" si="5"/>
        <v>0.23095178005853376</v>
      </c>
      <c r="H14">
        <f t="shared" si="6"/>
        <v>7.4699481845743003</v>
      </c>
      <c r="I14">
        <f t="shared" si="7"/>
        <v>0.70205181542570028</v>
      </c>
      <c r="J14">
        <f t="shared" si="8"/>
        <v>0.70205181542570028</v>
      </c>
    </row>
    <row r="15" spans="1:11" x14ac:dyDescent="0.25">
      <c r="A15">
        <v>8.3000000000000007</v>
      </c>
      <c r="B15">
        <f t="shared" si="4"/>
        <v>10</v>
      </c>
      <c r="C15">
        <f t="shared" si="0"/>
        <v>2.344362955899689</v>
      </c>
      <c r="D15">
        <f t="shared" si="1"/>
        <v>7.2251656956257104</v>
      </c>
      <c r="E15">
        <f t="shared" si="2"/>
        <v>1.1552687818597644</v>
      </c>
      <c r="F15">
        <f t="shared" si="3"/>
        <v>1.0748343043742903</v>
      </c>
      <c r="G15">
        <f t="shared" si="5"/>
        <v>0.1877203234114278</v>
      </c>
      <c r="H15">
        <f t="shared" si="6"/>
        <v>7.4128860190371384</v>
      </c>
      <c r="I15">
        <f t="shared" si="7"/>
        <v>0.88711398096286231</v>
      </c>
      <c r="J15">
        <f t="shared" si="8"/>
        <v>0.88711398096286231</v>
      </c>
    </row>
    <row r="16" spans="1:11" x14ac:dyDescent="0.25">
      <c r="A16">
        <v>8.0879999999999992</v>
      </c>
      <c r="B16">
        <f t="shared" si="4"/>
        <v>11</v>
      </c>
      <c r="C16">
        <f t="shared" si="0"/>
        <v>2.3298375616703035</v>
      </c>
      <c r="D16">
        <f t="shared" si="1"/>
        <v>7.2106403013963254</v>
      </c>
      <c r="E16">
        <f t="shared" si="2"/>
        <v>0.76976004073392934</v>
      </c>
      <c r="F16">
        <f t="shared" si="3"/>
        <v>0.8773596986036738</v>
      </c>
      <c r="G16">
        <f t="shared" si="5"/>
        <v>0.21625666204010718</v>
      </c>
      <c r="H16">
        <f t="shared" si="6"/>
        <v>7.4268969634364321</v>
      </c>
      <c r="I16">
        <f t="shared" si="7"/>
        <v>0.66110303656356706</v>
      </c>
      <c r="J16">
        <f t="shared" si="8"/>
        <v>0.66110303656356706</v>
      </c>
    </row>
    <row r="17" spans="1:10" x14ac:dyDescent="0.25">
      <c r="A17">
        <v>7.1719999999999997</v>
      </c>
      <c r="B17">
        <f t="shared" si="4"/>
        <v>12</v>
      </c>
      <c r="C17">
        <f t="shared" si="0"/>
        <v>2.3146217862893828</v>
      </c>
      <c r="D17">
        <f t="shared" si="1"/>
        <v>7.1954245260154046</v>
      </c>
      <c r="E17">
        <f t="shared" si="2"/>
        <v>5.48708419046381E-4</v>
      </c>
      <c r="F17">
        <f t="shared" si="3"/>
        <v>-2.3424526015404901E-2</v>
      </c>
      <c r="G17">
        <f t="shared" si="5"/>
        <v>0.17652477135905917</v>
      </c>
      <c r="H17">
        <f t="shared" si="6"/>
        <v>7.3719492973744636</v>
      </c>
      <c r="I17">
        <f t="shared" si="7"/>
        <v>-0.19994929737446387</v>
      </c>
      <c r="J17">
        <f t="shared" si="8"/>
        <v>0.19994929737446387</v>
      </c>
    </row>
    <row r="18" spans="1:10" x14ac:dyDescent="0.25">
      <c r="A18">
        <v>3.82</v>
      </c>
      <c r="B18">
        <f t="shared" si="4"/>
        <v>13</v>
      </c>
      <c r="C18">
        <f t="shared" si="0"/>
        <v>2.2987201385195557</v>
      </c>
      <c r="D18">
        <f t="shared" si="1"/>
        <v>7.179522878245578</v>
      </c>
      <c r="E18">
        <f t="shared" si="2"/>
        <v>11.286393969455453</v>
      </c>
      <c r="F18">
        <f t="shared" si="3"/>
        <v>-3.3595228782455782</v>
      </c>
      <c r="G18">
        <f t="shared" si="5"/>
        <v>-4.713014634299466E-3</v>
      </c>
      <c r="H18">
        <f t="shared" si="6"/>
        <v>7.1748098636112783</v>
      </c>
      <c r="I18">
        <f t="shared" si="7"/>
        <v>-3.3548098636112784</v>
      </c>
      <c r="J18">
        <f t="shared" si="8"/>
        <v>3.3548098636112784</v>
      </c>
    </row>
    <row r="19" spans="1:10" x14ac:dyDescent="0.25">
      <c r="A19">
        <v>7.28</v>
      </c>
      <c r="B19">
        <f t="shared" si="4"/>
        <v>14</v>
      </c>
      <c r="C19">
        <f t="shared" si="0"/>
        <v>2.2821373303622408</v>
      </c>
      <c r="D19">
        <f t="shared" si="1"/>
        <v>7.1629400700882631</v>
      </c>
      <c r="E19">
        <f t="shared" si="2"/>
        <v>1.3703027190940823E-2</v>
      </c>
      <c r="F19">
        <f t="shared" si="3"/>
        <v>0.11705992991173719</v>
      </c>
      <c r="G19">
        <f t="shared" si="5"/>
        <v>-0.67593600310301027</v>
      </c>
      <c r="H19">
        <f t="shared" si="6"/>
        <v>6.4870040669852527</v>
      </c>
      <c r="I19">
        <f t="shared" si="7"/>
        <v>0.79299593301474758</v>
      </c>
      <c r="J19">
        <f t="shared" si="8"/>
        <v>0.79299593301474758</v>
      </c>
    </row>
    <row r="20" spans="1:10" x14ac:dyDescent="0.25">
      <c r="A20">
        <v>7.0640000000000001</v>
      </c>
      <c r="B20">
        <f t="shared" si="4"/>
        <v>15</v>
      </c>
      <c r="C20">
        <f t="shared" si="0"/>
        <v>2.2648782756613821</v>
      </c>
      <c r="D20">
        <f t="shared" si="1"/>
        <v>7.145681015387404</v>
      </c>
      <c r="E20">
        <f t="shared" si="2"/>
        <v>6.6717882747173145E-3</v>
      </c>
      <c r="F20">
        <f t="shared" si="3"/>
        <v>-8.168101538740391E-2</v>
      </c>
      <c r="G20">
        <f t="shared" si="5"/>
        <v>2.3552457898241522E-2</v>
      </c>
      <c r="H20">
        <f t="shared" si="6"/>
        <v>7.1692334732856455</v>
      </c>
      <c r="I20">
        <f t="shared" si="7"/>
        <v>-0.10523347328564547</v>
      </c>
      <c r="J20">
        <f t="shared" si="8"/>
        <v>0.10523347328564547</v>
      </c>
    </row>
    <row r="21" spans="1:10" x14ac:dyDescent="0.25">
      <c r="A21">
        <v>7.5919999999999996</v>
      </c>
      <c r="B21">
        <f t="shared" si="4"/>
        <v>16</v>
      </c>
      <c r="C21">
        <f t="shared" si="0"/>
        <v>2.2469480886473683</v>
      </c>
      <c r="D21">
        <f t="shared" si="1"/>
        <v>7.1277508283733901</v>
      </c>
      <c r="E21">
        <f t="shared" si="2"/>
        <v>0.21552729335599313</v>
      </c>
      <c r="F21">
        <f t="shared" si="3"/>
        <v>0.4642491716266095</v>
      </c>
      <c r="G21">
        <f t="shared" si="5"/>
        <v>-1.6434220295945667E-2</v>
      </c>
      <c r="H21">
        <f t="shared" si="6"/>
        <v>7.1113166080774448</v>
      </c>
      <c r="I21">
        <f t="shared" si="7"/>
        <v>0.48068339192255483</v>
      </c>
      <c r="J21">
        <f t="shared" si="8"/>
        <v>0.48068339192255483</v>
      </c>
    </row>
    <row r="22" spans="1:10" x14ac:dyDescent="0.25">
      <c r="A22">
        <v>8.2159999999999993</v>
      </c>
      <c r="B22">
        <f t="shared" si="4"/>
        <v>17</v>
      </c>
      <c r="C22">
        <f t="shared" si="0"/>
        <v>2.2283520824215777</v>
      </c>
      <c r="D22">
        <f t="shared" si="1"/>
        <v>7.1091548221476</v>
      </c>
      <c r="E22">
        <f t="shared" si="2"/>
        <v>1.2251062477351096</v>
      </c>
      <c r="F22">
        <f t="shared" si="3"/>
        <v>1.1068451778523993</v>
      </c>
      <c r="G22">
        <f t="shared" si="5"/>
        <v>9.3406933331273825E-2</v>
      </c>
      <c r="H22">
        <f t="shared" si="6"/>
        <v>7.2025617554788735</v>
      </c>
      <c r="I22">
        <f t="shared" si="7"/>
        <v>1.0134382445211259</v>
      </c>
      <c r="J22">
        <f t="shared" si="8"/>
        <v>1.0134382445211259</v>
      </c>
    </row>
    <row r="23" spans="1:10" x14ac:dyDescent="0.25">
      <c r="A23">
        <v>8.14</v>
      </c>
      <c r="B23">
        <f t="shared" si="4"/>
        <v>18</v>
      </c>
      <c r="C23">
        <f t="shared" si="0"/>
        <v>2.2090957673819882</v>
      </c>
      <c r="D23">
        <f t="shared" si="1"/>
        <v>7.0898985071080105</v>
      </c>
      <c r="E23">
        <f t="shared" si="2"/>
        <v>1.1027131453739862</v>
      </c>
      <c r="F23">
        <f t="shared" si="3"/>
        <v>1.0501014928919901</v>
      </c>
      <c r="G23">
        <f t="shared" si="5"/>
        <v>0.22269724978390273</v>
      </c>
      <c r="H23">
        <f t="shared" si="6"/>
        <v>7.3125957568919135</v>
      </c>
      <c r="I23">
        <f t="shared" si="7"/>
        <v>0.82740424310808702</v>
      </c>
      <c r="J23">
        <f t="shared" si="8"/>
        <v>0.82740424310808702</v>
      </c>
    </row>
    <row r="24" spans="1:10" x14ac:dyDescent="0.25">
      <c r="A24">
        <v>7.8620000000000001</v>
      </c>
      <c r="B24">
        <f t="shared" si="4"/>
        <v>19</v>
      </c>
      <c r="C24">
        <f t="shared" si="0"/>
        <v>2.1891848495903323</v>
      </c>
      <c r="D24">
        <f t="shared" si="1"/>
        <v>7.0699875893163542</v>
      </c>
      <c r="E24">
        <f t="shared" si="2"/>
        <v>0.62728365867692015</v>
      </c>
      <c r="F24">
        <f t="shared" si="3"/>
        <v>0.79201241068364592</v>
      </c>
      <c r="G24">
        <f t="shared" si="5"/>
        <v>0.21128042036986838</v>
      </c>
      <c r="H24">
        <f t="shared" si="6"/>
        <v>7.2812680096862223</v>
      </c>
      <c r="I24">
        <f t="shared" si="7"/>
        <v>0.58073199031377776</v>
      </c>
      <c r="J24">
        <f t="shared" si="8"/>
        <v>0.58073199031377776</v>
      </c>
    </row>
    <row r="25" spans="1:10" x14ac:dyDescent="0.25">
      <c r="A25">
        <v>8.0299999999999994</v>
      </c>
      <c r="B25">
        <f t="shared" si="4"/>
        <v>20</v>
      </c>
      <c r="C25">
        <f t="shared" si="0"/>
        <v>2.1686252290812642</v>
      </c>
      <c r="D25">
        <f t="shared" si="1"/>
        <v>7.0494279688072865</v>
      </c>
      <c r="E25">
        <f t="shared" si="2"/>
        <v>0.96152150835740269</v>
      </c>
      <c r="F25">
        <f t="shared" si="3"/>
        <v>0.98057203119271286</v>
      </c>
      <c r="G25">
        <f t="shared" si="5"/>
        <v>0.15935289702954955</v>
      </c>
      <c r="H25">
        <f t="shared" si="6"/>
        <v>7.208780865836836</v>
      </c>
      <c r="I25">
        <f t="shared" si="7"/>
        <v>0.82121913416316339</v>
      </c>
      <c r="J25">
        <f t="shared" si="8"/>
        <v>0.82121913416316339</v>
      </c>
    </row>
    <row r="26" spans="1:10" x14ac:dyDescent="0.25">
      <c r="A26">
        <v>2.044</v>
      </c>
      <c r="B26">
        <f t="shared" si="4"/>
        <v>21</v>
      </c>
      <c r="C26">
        <f t="shared" si="0"/>
        <v>2.1474229981140533</v>
      </c>
      <c r="D26">
        <f t="shared" si="1"/>
        <v>7.0282257378400752</v>
      </c>
      <c r="E26">
        <f t="shared" si="2"/>
        <v>24.842506205747448</v>
      </c>
      <c r="F26">
        <f t="shared" si="3"/>
        <v>-4.9842257378400756</v>
      </c>
      <c r="G26">
        <f t="shared" si="5"/>
        <v>0.19729109267597381</v>
      </c>
      <c r="H26">
        <f t="shared" si="6"/>
        <v>7.2255168305160486</v>
      </c>
      <c r="I26">
        <f t="shared" si="7"/>
        <v>-5.1815168305160491</v>
      </c>
      <c r="J26">
        <f t="shared" si="8"/>
        <v>5.1815168305160491</v>
      </c>
    </row>
    <row r="27" spans="1:10" x14ac:dyDescent="0.25">
      <c r="A27">
        <v>7.1980000000000004</v>
      </c>
      <c r="B27">
        <f t="shared" si="4"/>
        <v>22</v>
      </c>
      <c r="C27">
        <f t="shared" si="0"/>
        <v>2.1255844393673176</v>
      </c>
      <c r="D27">
        <f t="shared" si="1"/>
        <v>7.0063871790933394</v>
      </c>
      <c r="E27">
        <f t="shared" si="2"/>
        <v>3.6715473135808134E-2</v>
      </c>
      <c r="F27">
        <f t="shared" si="3"/>
        <v>0.19161282090666099</v>
      </c>
      <c r="G27">
        <f t="shared" si="5"/>
        <v>-1.0028262184534231</v>
      </c>
      <c r="H27">
        <f t="shared" si="6"/>
        <v>6.0035609606399163</v>
      </c>
      <c r="I27">
        <f t="shared" si="7"/>
        <v>1.1944390393600841</v>
      </c>
      <c r="J27">
        <f t="shared" si="8"/>
        <v>1.1944390393600841</v>
      </c>
    </row>
    <row r="28" spans="1:10" x14ac:dyDescent="0.25">
      <c r="A28">
        <v>4.4539999999999997</v>
      </c>
      <c r="B28">
        <f t="shared" si="4"/>
        <v>23</v>
      </c>
      <c r="C28">
        <f t="shared" si="0"/>
        <v>2.1031160240773281</v>
      </c>
      <c r="D28">
        <f t="shared" si="1"/>
        <v>6.9839187638033504</v>
      </c>
      <c r="E28">
        <f t="shared" si="2"/>
        <v>6.4004889514442738</v>
      </c>
      <c r="F28">
        <f t="shared" si="3"/>
        <v>-2.5299187638033507</v>
      </c>
      <c r="G28">
        <f t="shared" si="5"/>
        <v>3.8552499566420186E-2</v>
      </c>
      <c r="H28">
        <f t="shared" si="6"/>
        <v>7.0224712633697708</v>
      </c>
      <c r="I28">
        <f t="shared" si="7"/>
        <v>-2.5684712633697711</v>
      </c>
      <c r="J28">
        <f t="shared" si="8"/>
        <v>2.5684712633697711</v>
      </c>
    </row>
    <row r="29" spans="1:10" x14ac:dyDescent="0.25">
      <c r="A29">
        <v>3.194</v>
      </c>
      <c r="B29">
        <f t="shared" si="4"/>
        <v>24</v>
      </c>
      <c r="C29">
        <f t="shared" si="0"/>
        <v>2.0800244101204433</v>
      </c>
      <c r="D29">
        <f t="shared" si="1"/>
        <v>6.9608271498464651</v>
      </c>
      <c r="E29">
        <f t="shared" si="2"/>
        <v>14.188986776820444</v>
      </c>
      <c r="F29">
        <f t="shared" si="3"/>
        <v>-3.7668271498464652</v>
      </c>
      <c r="G29">
        <f t="shared" si="5"/>
        <v>-0.50901965527723414</v>
      </c>
      <c r="H29">
        <f t="shared" si="6"/>
        <v>6.4518074945692305</v>
      </c>
      <c r="I29">
        <f t="shared" si="7"/>
        <v>-3.2578074945692306</v>
      </c>
      <c r="J29">
        <f t="shared" si="8"/>
        <v>3.2578074945692306</v>
      </c>
    </row>
    <row r="30" spans="1:10" x14ac:dyDescent="0.25">
      <c r="A30">
        <v>6.4740000000000002</v>
      </c>
      <c r="B30">
        <f t="shared" si="4"/>
        <v>25</v>
      </c>
      <c r="C30">
        <f t="shared" si="0"/>
        <v>2.0563164400402361</v>
      </c>
      <c r="D30">
        <f t="shared" si="1"/>
        <v>6.9371191797662579</v>
      </c>
      <c r="E30">
        <f t="shared" si="2"/>
        <v>0.21447937466737133</v>
      </c>
      <c r="F30">
        <f t="shared" si="3"/>
        <v>-0.46311917976625772</v>
      </c>
      <c r="G30">
        <f t="shared" si="5"/>
        <v>-0.75788562254910874</v>
      </c>
      <c r="H30">
        <f t="shared" si="6"/>
        <v>6.1792335572171488</v>
      </c>
      <c r="I30">
        <f t="shared" si="7"/>
        <v>0.29476644278285136</v>
      </c>
      <c r="J30">
        <f t="shared" si="8"/>
        <v>0.29476644278285136</v>
      </c>
    </row>
    <row r="31" spans="1:10" x14ac:dyDescent="0.25">
      <c r="A31">
        <v>7.8659999999999997</v>
      </c>
      <c r="B31">
        <f t="shared" si="4"/>
        <v>26</v>
      </c>
      <c r="C31">
        <f t="shared" si="0"/>
        <v>2.0319991390199017</v>
      </c>
      <c r="D31">
        <f t="shared" si="1"/>
        <v>6.912801878745924</v>
      </c>
      <c r="E31">
        <f t="shared" si="2"/>
        <v>0.90858665836229957</v>
      </c>
      <c r="F31">
        <f t="shared" si="3"/>
        <v>0.95319812125407566</v>
      </c>
      <c r="G31">
        <f t="shared" si="5"/>
        <v>-9.3179578968971041E-2</v>
      </c>
      <c r="H31">
        <f t="shared" si="6"/>
        <v>6.8196222997769533</v>
      </c>
      <c r="I31">
        <f t="shared" si="7"/>
        <v>1.0463777002230463</v>
      </c>
      <c r="J31">
        <f t="shared" si="8"/>
        <v>1.0463777002230463</v>
      </c>
    </row>
    <row r="32" spans="1:10" x14ac:dyDescent="0.25">
      <c r="A32">
        <v>7.98</v>
      </c>
      <c r="B32">
        <f t="shared" si="4"/>
        <v>27</v>
      </c>
      <c r="C32">
        <f t="shared" si="0"/>
        <v>2.0070797128005422</v>
      </c>
      <c r="D32">
        <f t="shared" si="1"/>
        <v>6.8878824525265641</v>
      </c>
      <c r="E32">
        <f t="shared" si="2"/>
        <v>1.1927207374993936</v>
      </c>
      <c r="F32">
        <f t="shared" si="3"/>
        <v>1.0921175474734364</v>
      </c>
      <c r="G32">
        <f t="shared" si="5"/>
        <v>0.19178346199632001</v>
      </c>
      <c r="H32">
        <f t="shared" si="6"/>
        <v>7.0796659145228844</v>
      </c>
      <c r="I32">
        <f t="shared" si="7"/>
        <v>0.90033408547711602</v>
      </c>
      <c r="J32">
        <f t="shared" si="8"/>
        <v>0.90033408547711602</v>
      </c>
    </row>
    <row r="33" spans="1:10" x14ac:dyDescent="0.25">
      <c r="A33">
        <v>7.532</v>
      </c>
      <c r="B33">
        <f t="shared" si="4"/>
        <v>28</v>
      </c>
      <c r="C33">
        <f t="shared" si="0"/>
        <v>1.9815655455459529</v>
      </c>
      <c r="D33">
        <f t="shared" si="1"/>
        <v>6.862368285271975</v>
      </c>
      <c r="E33">
        <f t="shared" si="2"/>
        <v>0.44840663336959513</v>
      </c>
      <c r="F33">
        <f t="shared" si="3"/>
        <v>0.66963171472802507</v>
      </c>
      <c r="G33">
        <f t="shared" si="5"/>
        <v>0.21973405055165537</v>
      </c>
      <c r="H33">
        <f t="shared" si="6"/>
        <v>7.0821023358236301</v>
      </c>
      <c r="I33">
        <f t="shared" si="7"/>
        <v>0.44989766417636989</v>
      </c>
      <c r="J33">
        <f t="shared" si="8"/>
        <v>0.44989766417636989</v>
      </c>
    </row>
    <row r="34" spans="1:10" x14ac:dyDescent="0.25">
      <c r="A34">
        <v>6.95</v>
      </c>
      <c r="B34">
        <f t="shared" si="4"/>
        <v>29</v>
      </c>
      <c r="C34">
        <f t="shared" si="0"/>
        <v>1.9554641976545311</v>
      </c>
      <c r="D34">
        <f t="shared" si="1"/>
        <v>6.8362669373805529</v>
      </c>
      <c r="E34">
        <f t="shared" si="2"/>
        <v>1.2935209532799113E-2</v>
      </c>
      <c r="F34">
        <f t="shared" si="3"/>
        <v>0.11373306261944727</v>
      </c>
      <c r="G34">
        <f t="shared" si="5"/>
        <v>0.13472990100327864</v>
      </c>
      <c r="H34">
        <f t="shared" si="6"/>
        <v>6.9709968383838312</v>
      </c>
      <c r="I34">
        <f t="shared" si="7"/>
        <v>-2.099683838383104E-2</v>
      </c>
      <c r="J34">
        <f t="shared" si="8"/>
        <v>2.099683838383104E-2</v>
      </c>
    </row>
    <row r="35" spans="1:10" x14ac:dyDescent="0.25">
      <c r="A35">
        <v>7.8819999999999997</v>
      </c>
      <c r="B35">
        <f t="shared" si="4"/>
        <v>30</v>
      </c>
      <c r="C35">
        <f t="shared" si="0"/>
        <v>1.9287834035189699</v>
      </c>
      <c r="D35">
        <f t="shared" si="1"/>
        <v>6.8095861432449922</v>
      </c>
      <c r="E35">
        <f t="shared" si="2"/>
        <v>1.1500714801601497</v>
      </c>
      <c r="F35">
        <f t="shared" si="3"/>
        <v>1.0724138567550074</v>
      </c>
      <c r="G35">
        <f t="shared" si="5"/>
        <v>2.2883092199032787E-2</v>
      </c>
      <c r="H35">
        <f t="shared" si="6"/>
        <v>6.8324692354440248</v>
      </c>
      <c r="I35">
        <f t="shared" si="7"/>
        <v>1.0495307645559748</v>
      </c>
      <c r="J35">
        <f t="shared" si="8"/>
        <v>1.0495307645559748</v>
      </c>
    </row>
    <row r="36" spans="1:10" x14ac:dyDescent="0.25">
      <c r="A36">
        <v>7.76</v>
      </c>
      <c r="B36">
        <f t="shared" si="4"/>
        <v>31</v>
      </c>
      <c r="C36">
        <f t="shared" si="0"/>
        <v>1.9015310692343912</v>
      </c>
      <c r="D36">
        <f t="shared" si="1"/>
        <v>6.7823338089604128</v>
      </c>
      <c r="E36">
        <f t="shared" si="2"/>
        <v>0.95583118110185417</v>
      </c>
      <c r="F36">
        <f t="shared" si="3"/>
        <v>0.97766619103958696</v>
      </c>
      <c r="G36">
        <f t="shared" si="5"/>
        <v>0.21576966797910749</v>
      </c>
      <c r="H36">
        <f t="shared" si="6"/>
        <v>6.9981034769395203</v>
      </c>
      <c r="I36">
        <f t="shared" si="7"/>
        <v>0.7618965230604795</v>
      </c>
      <c r="J36">
        <f t="shared" si="8"/>
        <v>0.7618965230604795</v>
      </c>
    </row>
    <row r="37" spans="1:10" x14ac:dyDescent="0.25">
      <c r="A37">
        <v>7.7380000000000004</v>
      </c>
      <c r="B37">
        <f t="shared" si="4"/>
        <v>32</v>
      </c>
      <c r="C37">
        <f t="shared" si="0"/>
        <v>1.8737152702555968</v>
      </c>
      <c r="D37">
        <f t="shared" si="1"/>
        <v>6.7545180099816182</v>
      </c>
      <c r="E37">
        <f t="shared" si="2"/>
        <v>0.96723682469051731</v>
      </c>
      <c r="F37">
        <f t="shared" si="3"/>
        <v>0.98348199001838221</v>
      </c>
      <c r="G37">
        <f t="shared" si="5"/>
        <v>0.19670643763716489</v>
      </c>
      <c r="H37">
        <f t="shared" si="6"/>
        <v>6.9512244476187828</v>
      </c>
      <c r="I37">
        <f t="shared" si="7"/>
        <v>0.78677555238121766</v>
      </c>
      <c r="J37">
        <f t="shared" si="8"/>
        <v>0.78677555238121766</v>
      </c>
    </row>
    <row r="38" spans="1:10" x14ac:dyDescent="0.25">
      <c r="A38">
        <v>7.85</v>
      </c>
      <c r="B38">
        <f t="shared" si="4"/>
        <v>33</v>
      </c>
      <c r="C38">
        <f t="shared" si="0"/>
        <v>1.8453442490041385</v>
      </c>
      <c r="D38">
        <f t="shared" si="1"/>
        <v>6.7261469887301608</v>
      </c>
      <c r="E38">
        <f t="shared" si="2"/>
        <v>1.2630455909402845</v>
      </c>
      <c r="F38">
        <f t="shared" si="3"/>
        <v>1.1238530112698388</v>
      </c>
      <c r="G38">
        <f t="shared" si="5"/>
        <v>0.19787657639169848</v>
      </c>
      <c r="H38">
        <f t="shared" si="6"/>
        <v>6.9240235651218596</v>
      </c>
      <c r="I38">
        <f t="shared" si="7"/>
        <v>0.92597643487814008</v>
      </c>
      <c r="J38">
        <f t="shared" si="8"/>
        <v>0.92597643487814008</v>
      </c>
    </row>
    <row r="39" spans="1:10" x14ac:dyDescent="0.25">
      <c r="A39">
        <v>7.766</v>
      </c>
      <c r="B39">
        <f t="shared" si="4"/>
        <v>34</v>
      </c>
      <c r="C39">
        <f t="shared" si="0"/>
        <v>1.8164264124259093</v>
      </c>
      <c r="D39">
        <f t="shared" si="1"/>
        <v>6.6972291521519312</v>
      </c>
      <c r="E39">
        <f t="shared" si="2"/>
        <v>1.1422711252098801</v>
      </c>
      <c r="F39">
        <f t="shared" si="3"/>
        <v>1.0687708478480689</v>
      </c>
      <c r="G39">
        <f t="shared" si="5"/>
        <v>0.22611922586749156</v>
      </c>
      <c r="H39">
        <f t="shared" si="6"/>
        <v>6.9233483780194227</v>
      </c>
      <c r="I39">
        <f t="shared" si="7"/>
        <v>0.8426516219805773</v>
      </c>
      <c r="J39">
        <f t="shared" si="8"/>
        <v>0.8426516219805773</v>
      </c>
    </row>
    <row r="40" spans="1:10" x14ac:dyDescent="0.25">
      <c r="A40">
        <v>7.484</v>
      </c>
      <c r="B40">
        <f t="shared" si="4"/>
        <v>35</v>
      </c>
      <c r="C40">
        <f t="shared" si="0"/>
        <v>1.7869703294999859</v>
      </c>
      <c r="D40">
        <f t="shared" si="1"/>
        <v>6.6677730692260075</v>
      </c>
      <c r="E40">
        <f t="shared" si="2"/>
        <v>0.66622640252073184</v>
      </c>
      <c r="F40">
        <f t="shared" si="3"/>
        <v>0.81622693077399244</v>
      </c>
      <c r="G40">
        <f t="shared" si="5"/>
        <v>0.21503669458703145</v>
      </c>
      <c r="H40">
        <f t="shared" si="6"/>
        <v>6.8828097638130394</v>
      </c>
      <c r="I40">
        <f t="shared" si="7"/>
        <v>0.60119023618696055</v>
      </c>
      <c r="J40">
        <f t="shared" si="8"/>
        <v>0.60119023618696055</v>
      </c>
    </row>
    <row r="41" spans="1:10" x14ac:dyDescent="0.25">
      <c r="A41">
        <v>7.66</v>
      </c>
      <c r="B41">
        <f t="shared" si="4"/>
        <v>36</v>
      </c>
      <c r="C41">
        <f t="shared" si="0"/>
        <v>1.7569847286994533</v>
      </c>
      <c r="D41">
        <f t="shared" si="1"/>
        <v>6.6377874684254756</v>
      </c>
      <c r="E41">
        <f t="shared" si="2"/>
        <v>1.0449184597079983</v>
      </c>
      <c r="F41">
        <f t="shared" si="3"/>
        <v>1.0222125315745245</v>
      </c>
      <c r="G41">
        <f t="shared" si="5"/>
        <v>0.16422485847172727</v>
      </c>
      <c r="H41">
        <f t="shared" si="6"/>
        <v>6.802012326897203</v>
      </c>
      <c r="I41">
        <f t="shared" si="7"/>
        <v>0.85798767310279711</v>
      </c>
      <c r="J41">
        <f t="shared" si="8"/>
        <v>0.85798767310279711</v>
      </c>
    </row>
    <row r="42" spans="1:10" x14ac:dyDescent="0.25">
      <c r="A42">
        <v>7.6740000000000004</v>
      </c>
      <c r="B42">
        <f t="shared" si="4"/>
        <v>37</v>
      </c>
      <c r="C42">
        <f t="shared" si="0"/>
        <v>1.7264784954049706</v>
      </c>
      <c r="D42">
        <f t="shared" si="1"/>
        <v>6.6072812351309924</v>
      </c>
      <c r="E42">
        <f t="shared" si="2"/>
        <v>1.137888923323662</v>
      </c>
      <c r="F42">
        <f t="shared" si="3"/>
        <v>1.066718764869008</v>
      </c>
      <c r="G42">
        <f t="shared" si="5"/>
        <v>0.20566916135279431</v>
      </c>
      <c r="H42">
        <f t="shared" si="6"/>
        <v>6.812950396483787</v>
      </c>
      <c r="I42">
        <f t="shared" si="7"/>
        <v>0.8610496035162134</v>
      </c>
      <c r="J42">
        <f t="shared" si="8"/>
        <v>0.8610496035162134</v>
      </c>
    </row>
    <row r="43" spans="1:10" x14ac:dyDescent="0.25">
      <c r="A43">
        <v>6.508</v>
      </c>
      <c r="B43">
        <f t="shared" si="4"/>
        <v>38</v>
      </c>
      <c r="C43">
        <f t="shared" si="0"/>
        <v>1.6954606692718421</v>
      </c>
      <c r="D43">
        <f t="shared" si="1"/>
        <v>6.576263408997864</v>
      </c>
      <c r="E43">
        <f t="shared" si="2"/>
        <v>4.6598930080096572E-3</v>
      </c>
      <c r="F43">
        <f t="shared" si="3"/>
        <v>-6.8263408997863984E-2</v>
      </c>
      <c r="G43">
        <f t="shared" si="5"/>
        <v>0.21462381549164439</v>
      </c>
      <c r="H43">
        <f t="shared" si="6"/>
        <v>6.7908872244895084</v>
      </c>
      <c r="I43">
        <f t="shared" si="7"/>
        <v>-0.28288722448950843</v>
      </c>
      <c r="J43">
        <f t="shared" si="8"/>
        <v>0.28288722448950843</v>
      </c>
    </row>
    <row r="44" spans="1:10" x14ac:dyDescent="0.25">
      <c r="A44">
        <v>7.5620000000000003</v>
      </c>
      <c r="B44">
        <f t="shared" si="4"/>
        <v>39</v>
      </c>
      <c r="C44">
        <f t="shared" si="0"/>
        <v>1.6639404415513703</v>
      </c>
      <c r="D44">
        <f t="shared" si="1"/>
        <v>6.5447431812773917</v>
      </c>
      <c r="E44">
        <f t="shared" si="2"/>
        <v>1.0348114352376421</v>
      </c>
      <c r="F44">
        <f t="shared" si="3"/>
        <v>1.0172568187226085</v>
      </c>
      <c r="G44">
        <f t="shared" si="5"/>
        <v>-1.3734597890370234E-2</v>
      </c>
      <c r="H44">
        <f t="shared" si="6"/>
        <v>6.5310085833870213</v>
      </c>
      <c r="I44">
        <f t="shared" si="7"/>
        <v>1.030991416612979</v>
      </c>
      <c r="J44">
        <f t="shared" si="8"/>
        <v>1.030991416612979</v>
      </c>
    </row>
    <row r="45" spans="1:10" x14ac:dyDescent="0.25">
      <c r="A45">
        <v>7.5940000000000003</v>
      </c>
      <c r="B45">
        <f t="shared" si="4"/>
        <v>40</v>
      </c>
      <c r="C45">
        <f t="shared" si="0"/>
        <v>1.6319271523672914</v>
      </c>
      <c r="D45">
        <f t="shared" si="1"/>
        <v>6.5127298920933132</v>
      </c>
      <c r="E45">
        <f t="shared" si="2"/>
        <v>1.1691450462525388</v>
      </c>
      <c r="F45">
        <f t="shared" si="3"/>
        <v>1.0812701079066871</v>
      </c>
      <c r="G45">
        <f t="shared" si="5"/>
        <v>0.20467207192698883</v>
      </c>
      <c r="H45">
        <f t="shared" si="6"/>
        <v>6.7174019640203024</v>
      </c>
      <c r="I45">
        <f t="shared" si="7"/>
        <v>0.87659803597969788</v>
      </c>
      <c r="J45">
        <f t="shared" si="8"/>
        <v>0.87659803597969788</v>
      </c>
    </row>
    <row r="46" spans="1:10" x14ac:dyDescent="0.25">
      <c r="A46">
        <v>7.5640000000000001</v>
      </c>
      <c r="B46">
        <f t="shared" si="4"/>
        <v>41</v>
      </c>
      <c r="C46">
        <f t="shared" si="0"/>
        <v>1.5994302879480931</v>
      </c>
      <c r="D46">
        <f t="shared" si="1"/>
        <v>6.4802330276741147</v>
      </c>
      <c r="E46">
        <f t="shared" si="2"/>
        <v>1.1745508503044164</v>
      </c>
      <c r="F46">
        <f t="shared" si="3"/>
        <v>1.0837669723258854</v>
      </c>
      <c r="G46">
        <f t="shared" si="5"/>
        <v>0.21755154571082544</v>
      </c>
      <c r="H46">
        <f t="shared" si="6"/>
        <v>6.6977845733849399</v>
      </c>
      <c r="I46">
        <f t="shared" si="7"/>
        <v>0.86621542661506012</v>
      </c>
      <c r="J46">
        <f t="shared" si="8"/>
        <v>0.86621542661506012</v>
      </c>
    </row>
    <row r="47" spans="1:10" x14ac:dyDescent="0.25">
      <c r="A47">
        <v>7.3259999999999996</v>
      </c>
      <c r="B47">
        <f t="shared" si="4"/>
        <v>42</v>
      </c>
      <c r="C47">
        <f t="shared" si="0"/>
        <v>1.5664594778160428</v>
      </c>
      <c r="D47">
        <f t="shared" si="1"/>
        <v>6.4472622175420646</v>
      </c>
      <c r="E47">
        <f t="shared" si="2"/>
        <v>0.77218009031908907</v>
      </c>
      <c r="F47">
        <f t="shared" si="3"/>
        <v>0.87873778245793499</v>
      </c>
      <c r="G47">
        <f t="shared" si="5"/>
        <v>0.21805391483196812</v>
      </c>
      <c r="H47">
        <f t="shared" si="6"/>
        <v>6.6653161323740324</v>
      </c>
      <c r="I47">
        <f t="shared" si="7"/>
        <v>0.6606838676259672</v>
      </c>
      <c r="J47">
        <f t="shared" si="8"/>
        <v>0.6606838676259672</v>
      </c>
    </row>
    <row r="48" spans="1:10" x14ac:dyDescent="0.25">
      <c r="A48">
        <v>5.41</v>
      </c>
      <c r="B48">
        <f t="shared" si="4"/>
        <v>43</v>
      </c>
      <c r="C48">
        <f t="shared" si="0"/>
        <v>1.5330244919337517</v>
      </c>
      <c r="D48">
        <f t="shared" si="1"/>
        <v>6.4138272316597735</v>
      </c>
      <c r="E48">
        <f t="shared" si="2"/>
        <v>1.0076691110217244</v>
      </c>
      <c r="F48">
        <f t="shared" si="3"/>
        <v>-1.0038272316597734</v>
      </c>
      <c r="G48">
        <f t="shared" si="5"/>
        <v>0.17680204183053652</v>
      </c>
      <c r="H48">
        <f t="shared" si="6"/>
        <v>6.5906292734903102</v>
      </c>
      <c r="I48">
        <f t="shared" si="7"/>
        <v>-1.1806292734903101</v>
      </c>
      <c r="J48">
        <f t="shared" si="8"/>
        <v>1.1806292734903101</v>
      </c>
    </row>
    <row r="49" spans="1:10" x14ac:dyDescent="0.25">
      <c r="A49">
        <v>3.6019999999999999</v>
      </c>
      <c r="B49">
        <f t="shared" si="4"/>
        <v>44</v>
      </c>
      <c r="C49">
        <f t="shared" si="0"/>
        <v>1.4991352378091223</v>
      </c>
      <c r="D49">
        <f t="shared" si="1"/>
        <v>6.3799379775351444</v>
      </c>
      <c r="E49">
        <f t="shared" si="2"/>
        <v>7.7169394070320489</v>
      </c>
      <c r="F49">
        <f t="shared" si="3"/>
        <v>-2.7779379775351445</v>
      </c>
      <c r="G49">
        <f t="shared" si="5"/>
        <v>-0.20197003900994639</v>
      </c>
      <c r="H49">
        <f t="shared" si="6"/>
        <v>6.1779679385251978</v>
      </c>
      <c r="I49">
        <f t="shared" si="7"/>
        <v>-2.5759679385251979</v>
      </c>
      <c r="J49">
        <f t="shared" si="8"/>
        <v>2.5759679385251979</v>
      </c>
    </row>
    <row r="50" spans="1:10" x14ac:dyDescent="0.25">
      <c r="A50">
        <v>5.61</v>
      </c>
      <c r="B50">
        <f t="shared" si="4"/>
        <v>45</v>
      </c>
      <c r="C50">
        <f t="shared" si="0"/>
        <v>1.4648017575595413</v>
      </c>
      <c r="D50">
        <f t="shared" si="1"/>
        <v>6.3456044972855636</v>
      </c>
      <c r="E50">
        <f t="shared" si="2"/>
        <v>0.5411139764267463</v>
      </c>
      <c r="F50">
        <f t="shared" si="3"/>
        <v>-0.73560449728556332</v>
      </c>
      <c r="G50">
        <f t="shared" si="5"/>
        <v>-0.55892112108007108</v>
      </c>
      <c r="H50">
        <f t="shared" si="6"/>
        <v>5.7866833762054926</v>
      </c>
      <c r="I50">
        <f t="shared" si="7"/>
        <v>-0.17668337620549224</v>
      </c>
      <c r="J50">
        <f t="shared" si="8"/>
        <v>0.17668337620549224</v>
      </c>
    </row>
    <row r="51" spans="1:10" x14ac:dyDescent="0.25">
      <c r="A51">
        <v>6.5640000000000001</v>
      </c>
      <c r="B51">
        <f t="shared" si="4"/>
        <v>46</v>
      </c>
      <c r="C51">
        <f t="shared" si="0"/>
        <v>1.4300342249361853</v>
      </c>
      <c r="D51">
        <f t="shared" si="1"/>
        <v>6.3108369646622071</v>
      </c>
      <c r="E51">
        <f t="shared" si="2"/>
        <v>6.4091522461444603E-2</v>
      </c>
      <c r="F51">
        <f t="shared" si="3"/>
        <v>0.25316303533779294</v>
      </c>
      <c r="G51">
        <f t="shared" si="5"/>
        <v>-0.14800362485385532</v>
      </c>
      <c r="H51">
        <f t="shared" si="6"/>
        <v>6.1628333398083521</v>
      </c>
      <c r="I51">
        <f t="shared" si="7"/>
        <v>0.40116666019164793</v>
      </c>
      <c r="J51">
        <f t="shared" si="8"/>
        <v>0.40116666019164793</v>
      </c>
    </row>
    <row r="52" spans="1:10" x14ac:dyDescent="0.25">
      <c r="A52">
        <v>6.2119999999999997</v>
      </c>
      <c r="B52">
        <f t="shared" si="4"/>
        <v>47</v>
      </c>
      <c r="C52">
        <f t="shared" si="0"/>
        <v>1.3948429423093138</v>
      </c>
      <c r="D52">
        <f t="shared" si="1"/>
        <v>6.2756456820353357</v>
      </c>
      <c r="E52">
        <f t="shared" si="2"/>
        <v>4.0507728417430834E-3</v>
      </c>
      <c r="F52">
        <f t="shared" si="3"/>
        <v>-6.3645682035335938E-2</v>
      </c>
      <c r="G52">
        <f t="shared" si="5"/>
        <v>5.093640270996394E-2</v>
      </c>
      <c r="H52">
        <f t="shared" si="6"/>
        <v>6.3265820847452998</v>
      </c>
      <c r="I52">
        <f t="shared" si="7"/>
        <v>-0.11458208474530007</v>
      </c>
      <c r="J52">
        <f t="shared" si="8"/>
        <v>0.11458208474530007</v>
      </c>
    </row>
    <row r="53" spans="1:10" x14ac:dyDescent="0.25">
      <c r="A53">
        <v>7.19</v>
      </c>
      <c r="B53">
        <f t="shared" si="4"/>
        <v>48</v>
      </c>
      <c r="C53">
        <f t="shared" si="0"/>
        <v>1.3592383376154598</v>
      </c>
      <c r="D53">
        <f t="shared" si="1"/>
        <v>6.2400410773414814</v>
      </c>
      <c r="E53">
        <f t="shared" si="2"/>
        <v>0.90242195473853404</v>
      </c>
      <c r="F53">
        <f t="shared" si="3"/>
        <v>0.949958922658519</v>
      </c>
      <c r="G53">
        <f t="shared" si="5"/>
        <v>-1.280551122550959E-2</v>
      </c>
      <c r="H53">
        <f t="shared" si="6"/>
        <v>6.2272355661159722</v>
      </c>
      <c r="I53">
        <f t="shared" si="7"/>
        <v>0.96276443388402821</v>
      </c>
      <c r="J53">
        <f t="shared" si="8"/>
        <v>0.96276443388402821</v>
      </c>
    </row>
    <row r="54" spans="1:10" x14ac:dyDescent="0.25">
      <c r="A54">
        <v>7.1580000000000004</v>
      </c>
      <c r="B54">
        <f t="shared" si="4"/>
        <v>49</v>
      </c>
      <c r="C54">
        <f t="shared" si="0"/>
        <v>1.3232309612674049</v>
      </c>
      <c r="D54">
        <f t="shared" si="1"/>
        <v>6.2040337009934268</v>
      </c>
      <c r="E54">
        <f t="shared" si="2"/>
        <v>0.91005169964029942</v>
      </c>
      <c r="F54">
        <f t="shared" si="3"/>
        <v>0.95396629900657359</v>
      </c>
      <c r="G54">
        <f t="shared" si="5"/>
        <v>0.19113173523889401</v>
      </c>
      <c r="H54">
        <f t="shared" si="6"/>
        <v>6.3951654362323209</v>
      </c>
      <c r="I54">
        <f t="shared" si="7"/>
        <v>0.76283456376767944</v>
      </c>
      <c r="J54">
        <f t="shared" si="8"/>
        <v>0.76283456376767944</v>
      </c>
    </row>
    <row r="55" spans="1:10" x14ac:dyDescent="0.25">
      <c r="A55">
        <v>7.258</v>
      </c>
      <c r="B55">
        <f t="shared" si="4"/>
        <v>50</v>
      </c>
      <c r="C55">
        <f t="shared" si="0"/>
        <v>1.2868314830278633</v>
      </c>
      <c r="D55">
        <f t="shared" si="1"/>
        <v>6.1676342227538852</v>
      </c>
      <c r="E55">
        <f t="shared" si="2"/>
        <v>1.1888975281895242</v>
      </c>
      <c r="F55">
        <f t="shared" si="3"/>
        <v>1.0903657772461148</v>
      </c>
      <c r="G55">
        <f t="shared" si="5"/>
        <v>0.19193801936012259</v>
      </c>
      <c r="H55">
        <f t="shared" si="6"/>
        <v>6.359572242114008</v>
      </c>
      <c r="I55">
        <f t="shared" si="7"/>
        <v>0.89842775788599205</v>
      </c>
      <c r="J55">
        <f t="shared" si="8"/>
        <v>0.89842775788599205</v>
      </c>
    </row>
    <row r="56" spans="1:10" x14ac:dyDescent="0.25">
      <c r="A56">
        <v>5.37</v>
      </c>
      <c r="B56">
        <f t="shared" si="4"/>
        <v>51</v>
      </c>
      <c r="C56">
        <f t="shared" si="0"/>
        <v>1.2500506888478027</v>
      </c>
      <c r="D56">
        <f t="shared" si="1"/>
        <v>6.1308534285738245</v>
      </c>
      <c r="E56">
        <f t="shared" si="2"/>
        <v>0.57889793977254378</v>
      </c>
      <c r="F56">
        <f t="shared" si="3"/>
        <v>-0.76085342857382443</v>
      </c>
      <c r="G56">
        <f t="shared" si="5"/>
        <v>0.21938159438191829</v>
      </c>
      <c r="H56">
        <f t="shared" si="6"/>
        <v>6.3502350229557427</v>
      </c>
      <c r="I56">
        <f t="shared" si="7"/>
        <v>-0.98023502295574261</v>
      </c>
      <c r="J56">
        <f t="shared" si="8"/>
        <v>0.98023502295574261</v>
      </c>
    </row>
    <row r="57" spans="1:10" x14ac:dyDescent="0.25">
      <c r="A57">
        <v>3.71</v>
      </c>
      <c r="B57">
        <f t="shared" si="4"/>
        <v>52</v>
      </c>
      <c r="C57">
        <f t="shared" si="0"/>
        <v>1.2128994776703326</v>
      </c>
      <c r="D57">
        <f t="shared" si="1"/>
        <v>6.0937022173963546</v>
      </c>
      <c r="E57">
        <f t="shared" si="2"/>
        <v>5.6820362612202979</v>
      </c>
      <c r="F57">
        <f t="shared" si="3"/>
        <v>-2.3837022173963547</v>
      </c>
      <c r="G57">
        <f t="shared" si="5"/>
        <v>-0.15308370982905348</v>
      </c>
      <c r="H57">
        <f t="shared" si="6"/>
        <v>5.9406185075673008</v>
      </c>
      <c r="I57">
        <f t="shared" si="7"/>
        <v>-2.2306185075673008</v>
      </c>
      <c r="J57">
        <f t="shared" si="8"/>
        <v>2.2306185075673008</v>
      </c>
    </row>
    <row r="58" spans="1:10" x14ac:dyDescent="0.25">
      <c r="A58">
        <v>5.2519999999999998</v>
      </c>
      <c r="B58">
        <f t="shared" si="4"/>
        <v>53</v>
      </c>
      <c r="C58">
        <f t="shared" si="0"/>
        <v>1.1753888582011143</v>
      </c>
      <c r="D58">
        <f t="shared" si="1"/>
        <v>6.0561915979271363</v>
      </c>
      <c r="E58">
        <f t="shared" si="2"/>
        <v>0.64672412617660124</v>
      </c>
      <c r="F58">
        <f t="shared" si="3"/>
        <v>-0.80419159792713657</v>
      </c>
      <c r="G58">
        <f t="shared" si="5"/>
        <v>-0.47960088614014657</v>
      </c>
      <c r="H58">
        <f t="shared" si="6"/>
        <v>5.5765907117869897</v>
      </c>
      <c r="I58">
        <f t="shared" si="7"/>
        <v>-0.32459071178698995</v>
      </c>
      <c r="J58">
        <f t="shared" si="8"/>
        <v>0.32459071178698995</v>
      </c>
    </row>
    <row r="59" spans="1:10" x14ac:dyDescent="0.25">
      <c r="A59">
        <v>1.8</v>
      </c>
      <c r="B59">
        <f t="shared" si="4"/>
        <v>54</v>
      </c>
      <c r="C59">
        <f t="shared" si="0"/>
        <v>1.137529945646242</v>
      </c>
      <c r="D59">
        <f t="shared" si="1"/>
        <v>6.0183326853722638</v>
      </c>
      <c r="E59">
        <f t="shared" si="2"/>
        <v>17.794330644479977</v>
      </c>
      <c r="F59">
        <f t="shared" si="3"/>
        <v>-4.218332685372264</v>
      </c>
      <c r="G59">
        <f t="shared" si="5"/>
        <v>-0.16180334950293987</v>
      </c>
      <c r="H59">
        <f t="shared" si="6"/>
        <v>5.8565293358693236</v>
      </c>
      <c r="I59">
        <f t="shared" si="7"/>
        <v>-4.0565293358693237</v>
      </c>
      <c r="J59">
        <f t="shared" si="8"/>
        <v>4.0565293358693237</v>
      </c>
    </row>
    <row r="60" spans="1:10" x14ac:dyDescent="0.25">
      <c r="A60">
        <v>4.5839999999999996</v>
      </c>
      <c r="B60">
        <f t="shared" si="4"/>
        <v>55</v>
      </c>
      <c r="C60">
        <f t="shared" si="0"/>
        <v>1.099333958418568</v>
      </c>
      <c r="D60">
        <f t="shared" si="1"/>
        <v>5.98013669814459</v>
      </c>
      <c r="E60">
        <f t="shared" si="2"/>
        <v>1.9491976799060791</v>
      </c>
      <c r="F60">
        <f t="shared" si="3"/>
        <v>-1.3961366981445904</v>
      </c>
      <c r="G60">
        <f t="shared" si="5"/>
        <v>-0.84872853629689948</v>
      </c>
      <c r="H60">
        <f t="shared" si="6"/>
        <v>5.1314081618476903</v>
      </c>
      <c r="I60">
        <f t="shared" si="7"/>
        <v>-0.5474081618476907</v>
      </c>
      <c r="J60">
        <f t="shared" si="8"/>
        <v>0.5474081618476907</v>
      </c>
    </row>
    <row r="61" spans="1:10" x14ac:dyDescent="0.25">
      <c r="A61">
        <v>6.2759999999999998</v>
      </c>
      <c r="B61">
        <f t="shared" si="4"/>
        <v>56</v>
      </c>
      <c r="C61">
        <f t="shared" si="0"/>
        <v>1.0608122148134442</v>
      </c>
      <c r="D61">
        <f t="shared" si="1"/>
        <v>5.9416149545394656</v>
      </c>
      <c r="E61">
        <f t="shared" si="2"/>
        <v>0.11181335862764349</v>
      </c>
      <c r="F61">
        <f t="shared" si="3"/>
        <v>0.33438504546053416</v>
      </c>
      <c r="G61">
        <f t="shared" si="5"/>
        <v>-0.28090270366669157</v>
      </c>
      <c r="H61">
        <f t="shared" si="6"/>
        <v>5.6607122508727743</v>
      </c>
      <c r="I61">
        <f t="shared" si="7"/>
        <v>0.6152877491272255</v>
      </c>
      <c r="J61">
        <f t="shared" si="8"/>
        <v>0.6152877491272255</v>
      </c>
    </row>
    <row r="62" spans="1:10" x14ac:dyDescent="0.25">
      <c r="A62">
        <v>6.8920000000000003</v>
      </c>
      <c r="B62">
        <f t="shared" si="4"/>
        <v>57</v>
      </c>
      <c r="C62">
        <f t="shared" si="0"/>
        <v>1.0219761296548691</v>
      </c>
      <c r="D62">
        <f t="shared" si="1"/>
        <v>5.9027788693808905</v>
      </c>
      <c r="E62">
        <f t="shared" si="2"/>
        <v>0.97855844526335001</v>
      </c>
      <c r="F62">
        <f t="shared" si="3"/>
        <v>0.98922113061910988</v>
      </c>
      <c r="G62">
        <f t="shared" si="5"/>
        <v>6.7278271146659463E-2</v>
      </c>
      <c r="H62">
        <f t="shared" si="6"/>
        <v>5.9700571405275502</v>
      </c>
      <c r="I62">
        <f t="shared" si="7"/>
        <v>0.92194285947245014</v>
      </c>
      <c r="J62">
        <f t="shared" si="8"/>
        <v>0.92194285947245014</v>
      </c>
    </row>
    <row r="63" spans="1:10" x14ac:dyDescent="0.25">
      <c r="A63">
        <v>5.9740000000000002</v>
      </c>
      <c r="B63">
        <f t="shared" si="4"/>
        <v>58</v>
      </c>
      <c r="C63">
        <f t="shared" si="0"/>
        <v>0.98283721091302556</v>
      </c>
      <c r="D63">
        <f t="shared" si="1"/>
        <v>5.8636399506390475</v>
      </c>
      <c r="E63">
        <f t="shared" si="2"/>
        <v>1.217934049495191E-2</v>
      </c>
      <c r="F63">
        <f t="shared" si="3"/>
        <v>0.11036004936095267</v>
      </c>
      <c r="G63">
        <f t="shared" si="5"/>
        <v>0.19903129148056489</v>
      </c>
      <c r="H63">
        <f t="shared" si="6"/>
        <v>6.0626712421196123</v>
      </c>
      <c r="I63">
        <f t="shared" si="7"/>
        <v>-8.8671242119612081E-2</v>
      </c>
      <c r="J63">
        <f t="shared" si="8"/>
        <v>8.8671242119612081E-2</v>
      </c>
    </row>
    <row r="64" spans="1:10" x14ac:dyDescent="0.25">
      <c r="A64">
        <v>6.8760000000000003</v>
      </c>
      <c r="B64">
        <f t="shared" si="4"/>
        <v>59</v>
      </c>
      <c r="C64">
        <f t="shared" si="0"/>
        <v>0.9434070562942245</v>
      </c>
      <c r="D64">
        <f t="shared" si="1"/>
        <v>5.8242097960202468</v>
      </c>
      <c r="E64">
        <f t="shared" si="2"/>
        <v>1.1062626331877716</v>
      </c>
      <c r="F64">
        <f t="shared" si="3"/>
        <v>1.0517902039797535</v>
      </c>
      <c r="G64">
        <f t="shared" si="5"/>
        <v>2.2204441931423676E-2</v>
      </c>
      <c r="H64">
        <f t="shared" si="6"/>
        <v>5.8464142379516701</v>
      </c>
      <c r="I64">
        <f t="shared" si="7"/>
        <v>1.0295857620483302</v>
      </c>
      <c r="J64">
        <f t="shared" si="8"/>
        <v>1.0295857620483302</v>
      </c>
    </row>
    <row r="65" spans="1:10" x14ac:dyDescent="0.25">
      <c r="A65">
        <v>5.1680000000000001</v>
      </c>
      <c r="B65">
        <f t="shared" si="4"/>
        <v>60</v>
      </c>
      <c r="C65">
        <f t="shared" si="0"/>
        <v>0.90369734980425165</v>
      </c>
      <c r="D65">
        <f t="shared" si="1"/>
        <v>5.7845000895302734</v>
      </c>
      <c r="E65">
        <f t="shared" si="2"/>
        <v>0.38007236039083492</v>
      </c>
      <c r="F65">
        <f t="shared" si="3"/>
        <v>-0.61650008953027324</v>
      </c>
      <c r="G65">
        <f t="shared" si="5"/>
        <v>0.21162018904072641</v>
      </c>
      <c r="H65">
        <f t="shared" si="6"/>
        <v>5.9961202785709995</v>
      </c>
      <c r="I65">
        <f t="shared" si="7"/>
        <v>-0.82812027857099935</v>
      </c>
      <c r="J65">
        <f t="shared" si="8"/>
        <v>0.82812027857099935</v>
      </c>
    </row>
    <row r="66" spans="1:10" x14ac:dyDescent="0.25">
      <c r="A66">
        <v>6.1520000000000001</v>
      </c>
      <c r="B66">
        <f t="shared" si="4"/>
        <v>61</v>
      </c>
      <c r="C66">
        <f t="shared" si="0"/>
        <v>0.86371985828614517</v>
      </c>
      <c r="D66">
        <f t="shared" si="1"/>
        <v>5.7445225980121668</v>
      </c>
      <c r="E66">
        <f t="shared" si="2"/>
        <v>0.16603783313075432</v>
      </c>
      <c r="F66">
        <f t="shared" si="3"/>
        <v>0.40747740198783333</v>
      </c>
      <c r="G66">
        <f t="shared" si="5"/>
        <v>-0.12403981801349097</v>
      </c>
      <c r="H66">
        <f t="shared" si="6"/>
        <v>5.6204827799986754</v>
      </c>
      <c r="I66">
        <f t="shared" si="7"/>
        <v>0.53151722000132473</v>
      </c>
      <c r="J66">
        <f t="shared" si="8"/>
        <v>0.53151722000132473</v>
      </c>
    </row>
    <row r="67" spans="1:10" x14ac:dyDescent="0.25">
      <c r="A67">
        <v>6.5839999999999996</v>
      </c>
      <c r="B67">
        <f t="shared" si="4"/>
        <v>62</v>
      </c>
      <c r="C67">
        <f t="shared" si="0"/>
        <v>0.82348642793342774</v>
      </c>
      <c r="D67">
        <f t="shared" si="1"/>
        <v>5.70428916765945</v>
      </c>
      <c r="E67">
        <f t="shared" si="2"/>
        <v>0.77389114853730256</v>
      </c>
      <c r="F67">
        <f t="shared" si="3"/>
        <v>0.87971083234054959</v>
      </c>
      <c r="G67">
        <f t="shared" si="5"/>
        <v>8.198445327995206E-2</v>
      </c>
      <c r="H67">
        <f t="shared" si="6"/>
        <v>5.7862736209394017</v>
      </c>
      <c r="I67">
        <f t="shared" si="7"/>
        <v>0.79772637906059796</v>
      </c>
      <c r="J67">
        <f t="shared" si="8"/>
        <v>0.79772637906059796</v>
      </c>
    </row>
    <row r="68" spans="1:10" x14ac:dyDescent="0.25">
      <c r="A68">
        <v>5.3780000000000001</v>
      </c>
      <c r="B68">
        <f t="shared" si="4"/>
        <v>63</v>
      </c>
      <c r="C68">
        <f t="shared" si="0"/>
        <v>0.7830089807798204</v>
      </c>
      <c r="D68">
        <f t="shared" si="1"/>
        <v>5.6638117205058425</v>
      </c>
      <c r="E68">
        <f t="shared" si="2"/>
        <v>8.1688339578509753E-2</v>
      </c>
      <c r="F68">
        <f t="shared" si="3"/>
        <v>-0.28581172050584236</v>
      </c>
      <c r="G68">
        <f t="shared" si="5"/>
        <v>0.17699781946691856</v>
      </c>
      <c r="H68">
        <f t="shared" si="6"/>
        <v>5.8408095399727609</v>
      </c>
      <c r="I68">
        <f t="shared" si="7"/>
        <v>-0.46280953997276075</v>
      </c>
      <c r="J68">
        <f t="shared" si="8"/>
        <v>0.46280953997276075</v>
      </c>
    </row>
    <row r="69" spans="1:10" x14ac:dyDescent="0.25">
      <c r="A69">
        <v>6.4720000000000004</v>
      </c>
      <c r="B69">
        <f t="shared" si="4"/>
        <v>64</v>
      </c>
      <c r="C69">
        <f t="shared" si="0"/>
        <v>0.74229951116649096</v>
      </c>
      <c r="D69">
        <f t="shared" si="1"/>
        <v>5.6231022508925133</v>
      </c>
      <c r="E69">
        <f t="shared" si="2"/>
        <v>0.72062738843975827</v>
      </c>
      <c r="F69">
        <f t="shared" si="3"/>
        <v>0.84889774910748717</v>
      </c>
      <c r="G69">
        <f t="shared" si="5"/>
        <v>-5.7505318165775476E-2</v>
      </c>
      <c r="H69">
        <f t="shared" si="6"/>
        <v>5.5655969327267378</v>
      </c>
      <c r="I69">
        <f t="shared" si="7"/>
        <v>0.90640306727326259</v>
      </c>
      <c r="J69">
        <f t="shared" si="8"/>
        <v>0.90640306727326259</v>
      </c>
    </row>
    <row r="70" spans="1:10" x14ac:dyDescent="0.25">
      <c r="A70">
        <v>5.202</v>
      </c>
      <c r="B70">
        <f t="shared" si="4"/>
        <v>65</v>
      </c>
      <c r="C70">
        <f t="shared" si="0"/>
        <v>0.70137008218786712</v>
      </c>
      <c r="D70">
        <f t="shared" si="1"/>
        <v>5.5821728219138889</v>
      </c>
      <c r="E70">
        <f t="shared" si="2"/>
        <v>0.14453137452196949</v>
      </c>
      <c r="F70">
        <f t="shared" si="3"/>
        <v>-0.3801728219138889</v>
      </c>
      <c r="G70">
        <f t="shared" si="5"/>
        <v>0.17079822712042642</v>
      </c>
      <c r="H70">
        <f t="shared" si="6"/>
        <v>5.7529710490343149</v>
      </c>
      <c r="I70">
        <f t="shared" si="7"/>
        <v>-0.55097104903431493</v>
      </c>
      <c r="J70">
        <f t="shared" si="8"/>
        <v>0.55097104903431493</v>
      </c>
    </row>
    <row r="71" spans="1:10" x14ac:dyDescent="0.25">
      <c r="A71">
        <v>6.1859999999999999</v>
      </c>
      <c r="B71">
        <f t="shared" si="4"/>
        <v>66</v>
      </c>
      <c r="C71">
        <f t="shared" ref="C71:C134" si="9">C$2*COS(C$1*B71)+C$3*SIN(C$1*B71)</f>
        <v>0.66023282211708456</v>
      </c>
      <c r="D71">
        <f t="shared" ref="D71:D134" si="10">$A$2+C71</f>
        <v>5.5410355618431062</v>
      </c>
      <c r="E71">
        <f t="shared" ref="E71:E134" si="11">(A71-D71)^2</f>
        <v>0.41597912648703761</v>
      </c>
      <c r="F71">
        <f t="shared" ref="F71:F134" si="12">A71-D71</f>
        <v>0.64496443815689375</v>
      </c>
      <c r="G71">
        <f t="shared" si="5"/>
        <v>-7.6490771769074442E-2</v>
      </c>
      <c r="H71">
        <f t="shared" si="6"/>
        <v>5.464544790074032</v>
      </c>
      <c r="I71">
        <f t="shared" si="7"/>
        <v>0.7214552099259679</v>
      </c>
      <c r="J71">
        <f t="shared" si="8"/>
        <v>0.7214552099259679</v>
      </c>
    </row>
    <row r="72" spans="1:10" x14ac:dyDescent="0.25">
      <c r="A72">
        <v>5.5119999999999996</v>
      </c>
      <c r="B72">
        <f t="shared" ref="B72:B135" si="13">B71+1</f>
        <v>67</v>
      </c>
      <c r="C72">
        <f t="shared" si="9"/>
        <v>0.61889992081211798</v>
      </c>
      <c r="D72">
        <f t="shared" si="10"/>
        <v>5.4997026605381398</v>
      </c>
      <c r="E72">
        <f t="shared" si="11"/>
        <v>1.5122455784021268E-4</v>
      </c>
      <c r="F72">
        <f t="shared" si="12"/>
        <v>1.2297339461859735E-2</v>
      </c>
      <c r="G72">
        <f t="shared" ref="G72:G135" si="14">$H$1*F71</f>
        <v>0.129766844957167</v>
      </c>
      <c r="H72">
        <f t="shared" ref="H72:H135" si="15">D72+G72</f>
        <v>5.6294695054953072</v>
      </c>
      <c r="I72">
        <f t="shared" ref="I72:I135" si="16">A72-H72</f>
        <v>-0.11746950549530766</v>
      </c>
      <c r="J72">
        <f t="shared" ref="J72:J135" si="17">ABS(I72)</f>
        <v>0.11746950549530766</v>
      </c>
    </row>
    <row r="73" spans="1:10" x14ac:dyDescent="0.25">
      <c r="A73">
        <v>1.6479999999999999</v>
      </c>
      <c r="B73">
        <f t="shared" si="13"/>
        <v>68</v>
      </c>
      <c r="C73">
        <f t="shared" si="9"/>
        <v>0.57738362610365956</v>
      </c>
      <c r="D73">
        <f t="shared" si="10"/>
        <v>5.4581863658296816</v>
      </c>
      <c r="E73">
        <f t="shared" si="11"/>
        <v>14.5175201423544</v>
      </c>
      <c r="F73">
        <f t="shared" si="12"/>
        <v>-3.810186365829682</v>
      </c>
      <c r="G73">
        <f t="shared" si="14"/>
        <v>2.4742246997261786E-3</v>
      </c>
      <c r="H73">
        <f t="shared" si="15"/>
        <v>5.4606605905294074</v>
      </c>
      <c r="I73">
        <f t="shared" si="16"/>
        <v>-3.8126605905294078</v>
      </c>
      <c r="J73">
        <f t="shared" si="17"/>
        <v>3.8126605905294078</v>
      </c>
    </row>
    <row r="74" spans="1:10" x14ac:dyDescent="0.25">
      <c r="A74">
        <v>5.2919999999999998</v>
      </c>
      <c r="B74">
        <f t="shared" si="13"/>
        <v>69</v>
      </c>
      <c r="C74">
        <f t="shared" si="9"/>
        <v>0.53569624016582851</v>
      </c>
      <c r="D74">
        <f t="shared" si="10"/>
        <v>5.4164989798918501</v>
      </c>
      <c r="E74">
        <f t="shared" si="11"/>
        <v>1.5499995994111351E-2</v>
      </c>
      <c r="F74">
        <f t="shared" si="12"/>
        <v>-0.12449897989185033</v>
      </c>
      <c r="G74">
        <f t="shared" si="14"/>
        <v>-0.76660949680493196</v>
      </c>
      <c r="H74">
        <f t="shared" si="15"/>
        <v>4.649889483086918</v>
      </c>
      <c r="I74">
        <f t="shared" si="16"/>
        <v>0.64211051691308185</v>
      </c>
      <c r="J74">
        <f t="shared" si="17"/>
        <v>0.64211051691308185</v>
      </c>
    </row>
    <row r="75" spans="1:10" x14ac:dyDescent="0.25">
      <c r="A75">
        <v>6.2380000000000004</v>
      </c>
      <c r="B75">
        <f t="shared" si="13"/>
        <v>70</v>
      </c>
      <c r="C75">
        <f t="shared" si="9"/>
        <v>0.49385011587076427</v>
      </c>
      <c r="D75">
        <f t="shared" si="10"/>
        <v>5.3746528555967865</v>
      </c>
      <c r="E75">
        <f t="shared" si="11"/>
        <v>0.74536829174918395</v>
      </c>
      <c r="F75">
        <f t="shared" si="12"/>
        <v>0.86334714440321392</v>
      </c>
      <c r="G75">
        <f t="shared" si="14"/>
        <v>-2.5049194754240285E-2</v>
      </c>
      <c r="H75">
        <f t="shared" si="15"/>
        <v>5.3496036608425461</v>
      </c>
      <c r="I75">
        <f t="shared" si="16"/>
        <v>0.88839633915745431</v>
      </c>
      <c r="J75">
        <f t="shared" si="17"/>
        <v>0.88839633915745431</v>
      </c>
    </row>
    <row r="76" spans="1:10" x14ac:dyDescent="0.25">
      <c r="A76">
        <v>6.2720000000000002</v>
      </c>
      <c r="B76">
        <f t="shared" si="13"/>
        <v>71</v>
      </c>
      <c r="C76">
        <f t="shared" si="9"/>
        <v>0.45185765312820858</v>
      </c>
      <c r="D76">
        <f t="shared" si="10"/>
        <v>5.3326603928542307</v>
      </c>
      <c r="E76">
        <f t="shared" si="11"/>
        <v>0.88235889755276875</v>
      </c>
      <c r="F76">
        <f t="shared" si="12"/>
        <v>0.93933960714576958</v>
      </c>
      <c r="G76">
        <f t="shared" si="14"/>
        <v>0.17370544545392663</v>
      </c>
      <c r="H76">
        <f t="shared" si="15"/>
        <v>5.5063658383081577</v>
      </c>
      <c r="I76">
        <f t="shared" si="16"/>
        <v>0.76563416169184251</v>
      </c>
      <c r="J76">
        <f t="shared" si="17"/>
        <v>0.76563416169184251</v>
      </c>
    </row>
    <row r="77" spans="1:10" x14ac:dyDescent="0.25">
      <c r="A77">
        <v>6.2119999999999997</v>
      </c>
      <c r="B77">
        <f t="shared" si="13"/>
        <v>72</v>
      </c>
      <c r="C77">
        <f t="shared" si="9"/>
        <v>0.40973129521114482</v>
      </c>
      <c r="D77">
        <f t="shared" si="10"/>
        <v>5.290534034937167</v>
      </c>
      <c r="E77">
        <f t="shared" si="11"/>
        <v>0.84909952476917772</v>
      </c>
      <c r="F77">
        <f t="shared" si="12"/>
        <v>0.92146596506283274</v>
      </c>
      <c r="G77">
        <f t="shared" si="14"/>
        <v>0.18899512895772883</v>
      </c>
      <c r="H77">
        <f t="shared" si="15"/>
        <v>5.4795291638948962</v>
      </c>
      <c r="I77">
        <f t="shared" si="16"/>
        <v>0.73247083610510355</v>
      </c>
      <c r="J77">
        <f t="shared" si="17"/>
        <v>0.73247083610510355</v>
      </c>
    </row>
    <row r="78" spans="1:10" x14ac:dyDescent="0.25">
      <c r="A78">
        <v>6.1920000000000002</v>
      </c>
      <c r="B78">
        <f t="shared" si="13"/>
        <v>73</v>
      </c>
      <c r="C78">
        <f t="shared" si="9"/>
        <v>0.36748352506858378</v>
      </c>
      <c r="D78">
        <f t="shared" si="10"/>
        <v>5.248286264794606</v>
      </c>
      <c r="E78">
        <f t="shared" si="11"/>
        <v>0.89059561401531673</v>
      </c>
      <c r="F78">
        <f t="shared" si="12"/>
        <v>0.94371373520539414</v>
      </c>
      <c r="G78">
        <f t="shared" si="14"/>
        <v>0.18539895217064195</v>
      </c>
      <c r="H78">
        <f t="shared" si="15"/>
        <v>5.4336852169652481</v>
      </c>
      <c r="I78">
        <f t="shared" si="16"/>
        <v>0.75831478303475208</v>
      </c>
      <c r="J78">
        <f t="shared" si="17"/>
        <v>0.75831478303475208</v>
      </c>
    </row>
    <row r="79" spans="1:10" x14ac:dyDescent="0.25">
      <c r="A79">
        <v>6.1680000000000001</v>
      </c>
      <c r="B79">
        <f t="shared" si="13"/>
        <v>74</v>
      </c>
      <c r="C79">
        <f t="shared" si="9"/>
        <v>0.32512686162660148</v>
      </c>
      <c r="D79">
        <f t="shared" si="10"/>
        <v>5.2059296013526231</v>
      </c>
      <c r="E79">
        <f t="shared" si="11"/>
        <v>0.92557945195352309</v>
      </c>
      <c r="F79">
        <f t="shared" si="12"/>
        <v>0.96207039864737709</v>
      </c>
      <c r="G79">
        <f t="shared" si="14"/>
        <v>0.18987520352332529</v>
      </c>
      <c r="H79">
        <f t="shared" si="15"/>
        <v>5.3958048048759482</v>
      </c>
      <c r="I79">
        <f t="shared" si="16"/>
        <v>0.77219519512405199</v>
      </c>
      <c r="J79">
        <f t="shared" si="17"/>
        <v>0.77219519512405199</v>
      </c>
    </row>
    <row r="80" spans="1:10" x14ac:dyDescent="0.25">
      <c r="A80">
        <v>6.1260000000000003</v>
      </c>
      <c r="B80">
        <f t="shared" si="13"/>
        <v>75</v>
      </c>
      <c r="C80">
        <f t="shared" si="9"/>
        <v>0.28267385607870682</v>
      </c>
      <c r="D80">
        <f t="shared" si="10"/>
        <v>5.1634765958047284</v>
      </c>
      <c r="E80">
        <f t="shared" si="11"/>
        <v>0.9264513036236548</v>
      </c>
      <c r="F80">
        <f t="shared" si="12"/>
        <v>0.96252340419527194</v>
      </c>
      <c r="G80">
        <f t="shared" si="14"/>
        <v>0.19356856420785226</v>
      </c>
      <c r="H80">
        <f t="shared" si="15"/>
        <v>5.3570451600125804</v>
      </c>
      <c r="I80">
        <f t="shared" si="16"/>
        <v>0.76895483998741998</v>
      </c>
      <c r="J80">
        <f t="shared" si="17"/>
        <v>0.76895483998741998</v>
      </c>
    </row>
    <row r="81" spans="1:10" x14ac:dyDescent="0.25">
      <c r="A81">
        <v>5.5880000000000001</v>
      </c>
      <c r="B81">
        <f t="shared" si="13"/>
        <v>76</v>
      </c>
      <c r="C81">
        <f t="shared" si="9"/>
        <v>0.24013708816665413</v>
      </c>
      <c r="D81">
        <f t="shared" si="10"/>
        <v>5.1209398278926761</v>
      </c>
      <c r="E81">
        <f t="shared" si="11"/>
        <v>0.2181452043689231</v>
      </c>
      <c r="F81">
        <f t="shared" si="12"/>
        <v>0.46706017210732398</v>
      </c>
      <c r="G81">
        <f t="shared" si="14"/>
        <v>0.19365970892408871</v>
      </c>
      <c r="H81">
        <f t="shared" si="15"/>
        <v>5.3145995368167647</v>
      </c>
      <c r="I81">
        <f t="shared" si="16"/>
        <v>0.27340046318323541</v>
      </c>
      <c r="J81">
        <f t="shared" si="17"/>
        <v>0.27340046318323541</v>
      </c>
    </row>
    <row r="82" spans="1:10" x14ac:dyDescent="0.25">
      <c r="A82">
        <v>3.6859999999999999</v>
      </c>
      <c r="B82">
        <f t="shared" si="13"/>
        <v>77</v>
      </c>
      <c r="C82">
        <f t="shared" si="9"/>
        <v>0.19752916245279534</v>
      </c>
      <c r="D82">
        <f t="shared" si="10"/>
        <v>5.0783319021788174</v>
      </c>
      <c r="E82">
        <f t="shared" si="11"/>
        <v>1.938588125824884</v>
      </c>
      <c r="F82">
        <f t="shared" si="12"/>
        <v>-1.3923319021788174</v>
      </c>
      <c r="G82">
        <f t="shared" si="14"/>
        <v>9.3972506627993585E-2</v>
      </c>
      <c r="H82">
        <f t="shared" si="15"/>
        <v>5.1723044088068111</v>
      </c>
      <c r="I82">
        <f t="shared" si="16"/>
        <v>-1.4863044088068111</v>
      </c>
      <c r="J82">
        <f t="shared" si="17"/>
        <v>1.4863044088068111</v>
      </c>
    </row>
    <row r="83" spans="1:10" x14ac:dyDescent="0.25">
      <c r="A83">
        <v>5.8460000000000001</v>
      </c>
      <c r="B83">
        <f t="shared" si="13"/>
        <v>78</v>
      </c>
      <c r="C83">
        <f t="shared" si="9"/>
        <v>0.15486270458507273</v>
      </c>
      <c r="D83">
        <f t="shared" si="10"/>
        <v>5.0356654443110944</v>
      </c>
      <c r="E83">
        <f t="shared" si="11"/>
        <v>0.65664209214353619</v>
      </c>
      <c r="F83">
        <f t="shared" si="12"/>
        <v>0.81033455568890567</v>
      </c>
      <c r="G83">
        <f t="shared" si="14"/>
        <v>-0.28013717871837807</v>
      </c>
      <c r="H83">
        <f t="shared" si="15"/>
        <v>4.7555282655927167</v>
      </c>
      <c r="I83">
        <f t="shared" si="16"/>
        <v>1.0904717344072834</v>
      </c>
      <c r="J83">
        <f t="shared" si="17"/>
        <v>1.0904717344072834</v>
      </c>
    </row>
    <row r="84" spans="1:10" x14ac:dyDescent="0.25">
      <c r="A84">
        <v>5.81</v>
      </c>
      <c r="B84">
        <f t="shared" si="13"/>
        <v>79</v>
      </c>
      <c r="C84">
        <f t="shared" si="9"/>
        <v>0.11215035755577119</v>
      </c>
      <c r="D84">
        <f t="shared" si="10"/>
        <v>4.9929530972817933</v>
      </c>
      <c r="E84">
        <f t="shared" si="11"/>
        <v>0.66756564124141415</v>
      </c>
      <c r="F84">
        <f t="shared" si="12"/>
        <v>0.81704690271820635</v>
      </c>
      <c r="G84">
        <f t="shared" si="14"/>
        <v>0.1630393126046078</v>
      </c>
      <c r="H84">
        <f t="shared" si="15"/>
        <v>5.1559924098864007</v>
      </c>
      <c r="I84">
        <f t="shared" si="16"/>
        <v>0.65400759011359888</v>
      </c>
      <c r="J84">
        <f t="shared" si="17"/>
        <v>0.65400759011359888</v>
      </c>
    </row>
    <row r="85" spans="1:10" x14ac:dyDescent="0.25">
      <c r="A85">
        <v>5.3760000000000003</v>
      </c>
      <c r="B85">
        <f t="shared" si="13"/>
        <v>80</v>
      </c>
      <c r="C85">
        <f t="shared" si="9"/>
        <v>6.9404777955122898E-2</v>
      </c>
      <c r="D85">
        <f t="shared" si="10"/>
        <v>4.9502075176811449</v>
      </c>
      <c r="E85">
        <f t="shared" si="11"/>
        <v>0.18129923799925285</v>
      </c>
      <c r="F85">
        <f t="shared" si="12"/>
        <v>0.42579248231885547</v>
      </c>
      <c r="G85">
        <f t="shared" si="14"/>
        <v>0.16438983682690311</v>
      </c>
      <c r="H85">
        <f t="shared" si="15"/>
        <v>5.1145973545080476</v>
      </c>
      <c r="I85">
        <f t="shared" si="16"/>
        <v>0.26140264549195269</v>
      </c>
      <c r="J85">
        <f t="shared" si="17"/>
        <v>0.26140264549195269</v>
      </c>
    </row>
    <row r="86" spans="1:10" x14ac:dyDescent="0.25">
      <c r="A86">
        <v>4.8099999999999996</v>
      </c>
      <c r="B86">
        <f t="shared" si="13"/>
        <v>81</v>
      </c>
      <c r="C86">
        <f t="shared" si="9"/>
        <v>2.6638632220888303E-2</v>
      </c>
      <c r="D86">
        <f t="shared" si="10"/>
        <v>4.9074413719469101</v>
      </c>
      <c r="E86">
        <f t="shared" si="11"/>
        <v>9.4948209668961545E-3</v>
      </c>
      <c r="F86">
        <f t="shared" si="12"/>
        <v>-9.7441371946910493E-2</v>
      </c>
      <c r="G86">
        <f t="shared" si="14"/>
        <v>8.5669447442553712E-2</v>
      </c>
      <c r="H86">
        <f t="shared" si="15"/>
        <v>4.9931108193894636</v>
      </c>
      <c r="I86">
        <f t="shared" si="16"/>
        <v>-0.18311081938946394</v>
      </c>
      <c r="J86">
        <f t="shared" si="17"/>
        <v>0.18311081938946394</v>
      </c>
    </row>
    <row r="87" spans="1:10" x14ac:dyDescent="0.25">
      <c r="A87">
        <v>4.3739999999999997</v>
      </c>
      <c r="B87">
        <f t="shared" si="13"/>
        <v>82</v>
      </c>
      <c r="C87">
        <f t="shared" si="9"/>
        <v>-1.613540711498157E-2</v>
      </c>
      <c r="D87">
        <f t="shared" si="10"/>
        <v>4.8646673326110399</v>
      </c>
      <c r="E87">
        <f t="shared" si="11"/>
        <v>0.24075443129163318</v>
      </c>
      <c r="F87">
        <f t="shared" si="12"/>
        <v>-0.49066733261104023</v>
      </c>
      <c r="G87">
        <f t="shared" si="14"/>
        <v>-1.9605204035718391E-2</v>
      </c>
      <c r="H87">
        <f t="shared" si="15"/>
        <v>4.8450621285753215</v>
      </c>
      <c r="I87">
        <f t="shared" si="16"/>
        <v>-0.47106212857532181</v>
      </c>
      <c r="J87">
        <f t="shared" si="17"/>
        <v>0.47106212857532181</v>
      </c>
    </row>
    <row r="88" spans="1:10" x14ac:dyDescent="0.25">
      <c r="A88">
        <v>2.95</v>
      </c>
      <c r="B88">
        <f t="shared" si="13"/>
        <v>83</v>
      </c>
      <c r="C88">
        <f t="shared" si="9"/>
        <v>-5.8904665181493343E-2</v>
      </c>
      <c r="D88">
        <f t="shared" si="10"/>
        <v>4.8218980745445288</v>
      </c>
      <c r="E88">
        <f t="shared" si="11"/>
        <v>3.5040024014835134</v>
      </c>
      <c r="F88">
        <f t="shared" si="12"/>
        <v>-1.8718980745445286</v>
      </c>
      <c r="G88">
        <f t="shared" si="14"/>
        <v>-9.8722267321341289E-2</v>
      </c>
      <c r="H88">
        <f t="shared" si="15"/>
        <v>4.7231758072231873</v>
      </c>
      <c r="I88">
        <f t="shared" si="16"/>
        <v>-1.7731758072231871</v>
      </c>
      <c r="J88">
        <f t="shared" si="17"/>
        <v>1.7731758072231871</v>
      </c>
    </row>
    <row r="89" spans="1:10" x14ac:dyDescent="0.25">
      <c r="A89">
        <v>5.242</v>
      </c>
      <c r="B89">
        <f t="shared" si="13"/>
        <v>84</v>
      </c>
      <c r="C89">
        <f t="shared" si="9"/>
        <v>-0.10165646852444432</v>
      </c>
      <c r="D89">
        <f t="shared" si="10"/>
        <v>4.7791462712015775</v>
      </c>
      <c r="E89">
        <f t="shared" si="11"/>
        <v>0.21423357426260362</v>
      </c>
      <c r="F89">
        <f t="shared" si="12"/>
        <v>0.46285372879842246</v>
      </c>
      <c r="G89">
        <f t="shared" si="14"/>
        <v>-0.37662589259835916</v>
      </c>
      <c r="H89">
        <f t="shared" si="15"/>
        <v>4.4025203786032181</v>
      </c>
      <c r="I89">
        <f t="shared" si="16"/>
        <v>0.83947962139678189</v>
      </c>
      <c r="J89">
        <f t="shared" si="17"/>
        <v>0.83947962139678189</v>
      </c>
    </row>
    <row r="90" spans="1:10" x14ac:dyDescent="0.25">
      <c r="A90">
        <v>5.4039999999999999</v>
      </c>
      <c r="B90">
        <f t="shared" si="13"/>
        <v>85</v>
      </c>
      <c r="C90">
        <f t="shared" si="9"/>
        <v>-0.14437814886184591</v>
      </c>
      <c r="D90">
        <f t="shared" si="10"/>
        <v>4.7364245908641758</v>
      </c>
      <c r="E90">
        <f t="shared" si="11"/>
        <v>0.44565692688286301</v>
      </c>
      <c r="F90">
        <f t="shared" si="12"/>
        <v>0.66757540913582414</v>
      </c>
      <c r="G90">
        <f t="shared" si="14"/>
        <v>9.3126170234242592E-2</v>
      </c>
      <c r="H90">
        <f t="shared" si="15"/>
        <v>4.8295507610984183</v>
      </c>
      <c r="I90">
        <f t="shared" si="16"/>
        <v>0.57444923890158162</v>
      </c>
      <c r="J90">
        <f t="shared" si="17"/>
        <v>0.57444923890158162</v>
      </c>
    </row>
    <row r="91" spans="1:10" x14ac:dyDescent="0.25">
      <c r="A91">
        <v>5.4320000000000004</v>
      </c>
      <c r="B91">
        <f t="shared" si="13"/>
        <v>86</v>
      </c>
      <c r="C91">
        <f t="shared" si="9"/>
        <v>-0.1870570468378035</v>
      </c>
      <c r="D91">
        <f t="shared" si="10"/>
        <v>4.6937456928882186</v>
      </c>
      <c r="E91">
        <f t="shared" si="11"/>
        <v>0.54501942196909692</v>
      </c>
      <c r="F91">
        <f t="shared" si="12"/>
        <v>0.73825430711178175</v>
      </c>
      <c r="G91">
        <f t="shared" si="14"/>
        <v>0.13431617231812781</v>
      </c>
      <c r="H91">
        <f t="shared" si="15"/>
        <v>4.8280618652063465</v>
      </c>
      <c r="I91">
        <f t="shared" si="16"/>
        <v>0.60393813479365388</v>
      </c>
      <c r="J91">
        <f t="shared" si="17"/>
        <v>0.60393813479365388</v>
      </c>
    </row>
    <row r="92" spans="1:10" x14ac:dyDescent="0.25">
      <c r="A92">
        <v>5.4080000000000004</v>
      </c>
      <c r="B92">
        <f t="shared" si="13"/>
        <v>87</v>
      </c>
      <c r="C92">
        <f t="shared" si="9"/>
        <v>-0.22968051577376136</v>
      </c>
      <c r="D92">
        <f t="shared" si="10"/>
        <v>4.6511222239522603</v>
      </c>
      <c r="E92">
        <f t="shared" si="11"/>
        <v>0.57286396787497296</v>
      </c>
      <c r="F92">
        <f t="shared" si="12"/>
        <v>0.75687777604774009</v>
      </c>
      <c r="G92">
        <f t="shared" si="14"/>
        <v>0.14853676659089049</v>
      </c>
      <c r="H92">
        <f t="shared" si="15"/>
        <v>4.7996589905431506</v>
      </c>
      <c r="I92">
        <f t="shared" si="16"/>
        <v>0.60834100945684977</v>
      </c>
      <c r="J92">
        <f t="shared" si="17"/>
        <v>0.60834100945684977</v>
      </c>
    </row>
    <row r="93" spans="1:10" x14ac:dyDescent="0.25">
      <c r="A93">
        <v>2.214</v>
      </c>
      <c r="B93">
        <f t="shared" si="13"/>
        <v>88</v>
      </c>
      <c r="C93">
        <f t="shared" si="9"/>
        <v>-0.27223592541598451</v>
      </c>
      <c r="D93">
        <f t="shared" si="10"/>
        <v>4.6085668143100378</v>
      </c>
      <c r="E93">
        <f t="shared" si="11"/>
        <v>5.7339502281949235</v>
      </c>
      <c r="F93">
        <f t="shared" si="12"/>
        <v>-2.3945668143100378</v>
      </c>
      <c r="G93">
        <f t="shared" si="14"/>
        <v>0.15228380854080531</v>
      </c>
      <c r="H93">
        <f t="shared" si="15"/>
        <v>4.7608506228508434</v>
      </c>
      <c r="I93">
        <f t="shared" si="16"/>
        <v>-2.5468506228508434</v>
      </c>
      <c r="J93">
        <f t="shared" si="17"/>
        <v>2.5468506228508434</v>
      </c>
    </row>
    <row r="94" spans="1:10" x14ac:dyDescent="0.25">
      <c r="A94">
        <v>1.3919999999999999</v>
      </c>
      <c r="B94">
        <f t="shared" si="13"/>
        <v>89</v>
      </c>
      <c r="C94">
        <f t="shared" si="9"/>
        <v>-0.31471066567817385</v>
      </c>
      <c r="D94">
        <f t="shared" si="10"/>
        <v>4.5660920740478481</v>
      </c>
      <c r="E94">
        <f t="shared" si="11"/>
        <v>10.07486049453337</v>
      </c>
      <c r="F94">
        <f t="shared" si="12"/>
        <v>-3.1740920740478482</v>
      </c>
      <c r="G94">
        <f t="shared" si="14"/>
        <v>-0.48178684303917957</v>
      </c>
      <c r="H94">
        <f t="shared" si="15"/>
        <v>4.0843052310086687</v>
      </c>
      <c r="I94">
        <f t="shared" si="16"/>
        <v>-2.6923052310086688</v>
      </c>
      <c r="J94">
        <f t="shared" si="17"/>
        <v>2.6923052310086688</v>
      </c>
    </row>
    <row r="95" spans="1:10" x14ac:dyDescent="0.25">
      <c r="A95">
        <v>5.3959999999999999</v>
      </c>
      <c r="B95">
        <f t="shared" si="13"/>
        <v>90</v>
      </c>
      <c r="C95">
        <f t="shared" si="9"/>
        <v>-0.35709215037811093</v>
      </c>
      <c r="D95">
        <f t="shared" si="10"/>
        <v>4.5237105893479113</v>
      </c>
      <c r="E95">
        <f t="shared" si="11"/>
        <v>0.76088881593576818</v>
      </c>
      <c r="F95">
        <f t="shared" si="12"/>
        <v>0.87228941065208865</v>
      </c>
      <c r="G95">
        <f t="shared" si="14"/>
        <v>-0.63862732529842703</v>
      </c>
      <c r="H95">
        <f t="shared" si="15"/>
        <v>3.8850832640494843</v>
      </c>
      <c r="I95">
        <f t="shared" si="16"/>
        <v>1.5109167359505156</v>
      </c>
      <c r="J95">
        <f t="shared" si="17"/>
        <v>1.5109167359505156</v>
      </c>
    </row>
    <row r="96" spans="1:10" x14ac:dyDescent="0.25">
      <c r="A96">
        <v>5.3339999999999996</v>
      </c>
      <c r="B96">
        <f t="shared" si="13"/>
        <v>91</v>
      </c>
      <c r="C96">
        <f t="shared" si="9"/>
        <v>-0.39936782096721057</v>
      </c>
      <c r="D96">
        <f t="shared" si="10"/>
        <v>4.4814349187588114</v>
      </c>
      <c r="E96">
        <f t="shared" si="11"/>
        <v>0.72686721775179386</v>
      </c>
      <c r="F96">
        <f t="shared" si="12"/>
        <v>0.85256508124118824</v>
      </c>
      <c r="G96">
        <f t="shared" si="14"/>
        <v>0.17550462942320022</v>
      </c>
      <c r="H96">
        <f t="shared" si="15"/>
        <v>4.6569395481820113</v>
      </c>
      <c r="I96">
        <f t="shared" si="16"/>
        <v>0.67706045181798835</v>
      </c>
      <c r="J96">
        <f t="shared" si="17"/>
        <v>0.67706045181798835</v>
      </c>
    </row>
    <row r="97" spans="1:10" x14ac:dyDescent="0.25">
      <c r="A97">
        <v>5.1340000000000003</v>
      </c>
      <c r="B97">
        <f t="shared" si="13"/>
        <v>92</v>
      </c>
      <c r="C97">
        <f t="shared" si="9"/>
        <v>-0.44152515025189409</v>
      </c>
      <c r="D97">
        <f t="shared" si="10"/>
        <v>4.4392775894741279</v>
      </c>
      <c r="E97">
        <f t="shared" si="11"/>
        <v>0.48263922768687889</v>
      </c>
      <c r="F97">
        <f t="shared" si="12"/>
        <v>0.69472241052587247</v>
      </c>
      <c r="G97">
        <f t="shared" si="14"/>
        <v>0.17153609434572706</v>
      </c>
      <c r="H97">
        <f t="shared" si="15"/>
        <v>4.6108136838198552</v>
      </c>
      <c r="I97">
        <f t="shared" si="16"/>
        <v>0.52318631618014511</v>
      </c>
      <c r="J97">
        <f t="shared" si="17"/>
        <v>0.52318631618014511</v>
      </c>
    </row>
    <row r="98" spans="1:10" x14ac:dyDescent="0.25">
      <c r="A98">
        <v>5.2640000000000002</v>
      </c>
      <c r="B98">
        <f t="shared" si="13"/>
        <v>93</v>
      </c>
      <c r="C98">
        <f t="shared" si="9"/>
        <v>-0.48355164610566542</v>
      </c>
      <c r="D98">
        <f t="shared" si="10"/>
        <v>4.3972510936203566</v>
      </c>
      <c r="E98">
        <f t="shared" si="11"/>
        <v>0.75125366671030824</v>
      </c>
      <c r="F98">
        <f t="shared" si="12"/>
        <v>0.86674890637964364</v>
      </c>
      <c r="G98">
        <f t="shared" si="14"/>
        <v>0.13977814899780552</v>
      </c>
      <c r="H98">
        <f t="shared" si="15"/>
        <v>4.5370292426181624</v>
      </c>
      <c r="I98">
        <f t="shared" si="16"/>
        <v>0.72697075738183781</v>
      </c>
      <c r="J98">
        <f t="shared" si="17"/>
        <v>0.72697075738183781</v>
      </c>
    </row>
    <row r="99" spans="1:10" x14ac:dyDescent="0.25">
      <c r="A99">
        <v>3.73</v>
      </c>
      <c r="B99">
        <f t="shared" si="13"/>
        <v>94</v>
      </c>
      <c r="C99">
        <f t="shared" si="9"/>
        <v>-0.52543485517079591</v>
      </c>
      <c r="D99">
        <f t="shared" si="10"/>
        <v>4.3553678845552257</v>
      </c>
      <c r="E99">
        <f t="shared" si="11"/>
        <v>0.39108499103307814</v>
      </c>
      <c r="F99">
        <f t="shared" si="12"/>
        <v>-0.62536788455522574</v>
      </c>
      <c r="G99">
        <f t="shared" si="14"/>
        <v>0.17438987996358429</v>
      </c>
      <c r="H99">
        <f t="shared" si="15"/>
        <v>4.5297577645188101</v>
      </c>
      <c r="I99">
        <f t="shared" si="16"/>
        <v>-0.79975776451881009</v>
      </c>
      <c r="J99">
        <f t="shared" si="17"/>
        <v>0.79975776451881009</v>
      </c>
    </row>
    <row r="100" spans="1:10" x14ac:dyDescent="0.25">
      <c r="A100">
        <v>3.8180000000000001</v>
      </c>
      <c r="B100">
        <f t="shared" si="13"/>
        <v>95</v>
      </c>
      <c r="C100">
        <f t="shared" si="9"/>
        <v>-0.56716236654852681</v>
      </c>
      <c r="D100">
        <f t="shared" si="10"/>
        <v>4.3136403731774955</v>
      </c>
      <c r="E100">
        <f t="shared" si="11"/>
        <v>0.24565937952352693</v>
      </c>
      <c r="F100">
        <f t="shared" si="12"/>
        <v>-0.49564037317749543</v>
      </c>
      <c r="G100">
        <f t="shared" si="14"/>
        <v>-0.12582401837251142</v>
      </c>
      <c r="H100">
        <f t="shared" si="15"/>
        <v>4.1878163548049843</v>
      </c>
      <c r="I100">
        <f t="shared" si="16"/>
        <v>-0.3698163548049842</v>
      </c>
      <c r="J100">
        <f t="shared" si="17"/>
        <v>0.3698163548049842</v>
      </c>
    </row>
    <row r="101" spans="1:10" x14ac:dyDescent="0.25">
      <c r="A101">
        <v>4.3659999999999997</v>
      </c>
      <c r="B101">
        <f t="shared" si="13"/>
        <v>96</v>
      </c>
      <c r="C101">
        <f t="shared" si="9"/>
        <v>-0.60872181547668258</v>
      </c>
      <c r="D101">
        <f t="shared" si="10"/>
        <v>4.2720809242493392</v>
      </c>
      <c r="E101">
        <f t="shared" si="11"/>
        <v>8.8207927898583047E-3</v>
      </c>
      <c r="F101">
        <f t="shared" si="12"/>
        <v>9.3919075750660497E-2</v>
      </c>
      <c r="G101">
        <f t="shared" si="14"/>
        <v>-9.9722843083312071E-2</v>
      </c>
      <c r="H101">
        <f t="shared" si="15"/>
        <v>4.1723580811660268</v>
      </c>
      <c r="I101">
        <f t="shared" si="16"/>
        <v>0.19364191883397286</v>
      </c>
      <c r="J101">
        <f t="shared" si="17"/>
        <v>0.19364191883397286</v>
      </c>
    </row>
    <row r="102" spans="1:10" x14ac:dyDescent="0.25">
      <c r="A102">
        <v>3.3119999999999998</v>
      </c>
      <c r="B102">
        <f t="shared" si="13"/>
        <v>97</v>
      </c>
      <c r="C102">
        <f t="shared" si="9"/>
        <v>-0.65010088699361979</v>
      </c>
      <c r="D102">
        <f t="shared" si="10"/>
        <v>4.2307018527324018</v>
      </c>
      <c r="E102">
        <f t="shared" si="11"/>
        <v>0.8440130942139481</v>
      </c>
      <c r="F102">
        <f t="shared" si="12"/>
        <v>-0.91870185273240201</v>
      </c>
      <c r="G102">
        <f t="shared" si="14"/>
        <v>1.889651804103289E-2</v>
      </c>
      <c r="H102">
        <f t="shared" si="15"/>
        <v>4.2495983707734348</v>
      </c>
      <c r="I102">
        <f t="shared" si="16"/>
        <v>-0.937598370773435</v>
      </c>
      <c r="J102">
        <f t="shared" si="17"/>
        <v>0.937598370773435</v>
      </c>
    </row>
    <row r="103" spans="1:10" x14ac:dyDescent="0.25">
      <c r="A103">
        <v>4.58</v>
      </c>
      <c r="B103">
        <f t="shared" si="13"/>
        <v>98</v>
      </c>
      <c r="C103">
        <f t="shared" si="9"/>
        <v>-0.69128731958741518</v>
      </c>
      <c r="D103">
        <f t="shared" si="10"/>
        <v>4.1895154201386067</v>
      </c>
      <c r="E103">
        <f t="shared" si="11"/>
        <v>0.15247820710952892</v>
      </c>
      <c r="F103">
        <f t="shared" si="12"/>
        <v>0.3904845798613934</v>
      </c>
      <c r="G103">
        <f t="shared" si="14"/>
        <v>-0.18484281276975928</v>
      </c>
      <c r="H103">
        <f t="shared" si="15"/>
        <v>4.004672607368847</v>
      </c>
      <c r="I103">
        <f t="shared" si="16"/>
        <v>0.57532739263115307</v>
      </c>
      <c r="J103">
        <f t="shared" si="17"/>
        <v>0.57532739263115307</v>
      </c>
    </row>
    <row r="104" spans="1:10" x14ac:dyDescent="0.25">
      <c r="A104">
        <v>3.516</v>
      </c>
      <c r="B104">
        <f t="shared" si="13"/>
        <v>99</v>
      </c>
      <c r="C104">
        <f t="shared" si="9"/>
        <v>-0.73226890882921392</v>
      </c>
      <c r="D104">
        <f t="shared" si="10"/>
        <v>4.1485338308968078</v>
      </c>
      <c r="E104">
        <f t="shared" si="11"/>
        <v>0.40009904722899148</v>
      </c>
      <c r="F104">
        <f t="shared" si="12"/>
        <v>-0.63253383089680781</v>
      </c>
      <c r="G104">
        <f t="shared" si="14"/>
        <v>7.8565497468112352E-2</v>
      </c>
      <c r="H104">
        <f t="shared" si="15"/>
        <v>4.2270993283649201</v>
      </c>
      <c r="I104">
        <f t="shared" si="16"/>
        <v>-0.71109932836492007</v>
      </c>
      <c r="J104">
        <f t="shared" si="17"/>
        <v>0.71109932836492007</v>
      </c>
    </row>
    <row r="105" spans="1:10" x14ac:dyDescent="0.25">
      <c r="A105">
        <v>4.9539999999999997</v>
      </c>
      <c r="B105">
        <f t="shared" si="13"/>
        <v>100</v>
      </c>
      <c r="C105">
        <f t="shared" si="9"/>
        <v>-0.77303351098966977</v>
      </c>
      <c r="D105">
        <f t="shared" si="10"/>
        <v>4.1077692287363519</v>
      </c>
      <c r="E105">
        <f t="shared" si="11"/>
        <v>0.71610651823346838</v>
      </c>
      <c r="F105">
        <f t="shared" si="12"/>
        <v>0.84623077126364787</v>
      </c>
      <c r="G105">
        <f t="shared" si="14"/>
        <v>-0.12726580677643773</v>
      </c>
      <c r="H105">
        <f t="shared" si="15"/>
        <v>3.9805034219599142</v>
      </c>
      <c r="I105">
        <f t="shared" si="16"/>
        <v>0.97349657804008549</v>
      </c>
      <c r="J105">
        <f t="shared" si="17"/>
        <v>0.97349657804008549</v>
      </c>
    </row>
    <row r="106" spans="1:10" x14ac:dyDescent="0.25">
      <c r="A106">
        <v>4.7</v>
      </c>
      <c r="B106">
        <f t="shared" si="13"/>
        <v>101</v>
      </c>
      <c r="C106">
        <f t="shared" si="9"/>
        <v>-0.81356904663738927</v>
      </c>
      <c r="D106">
        <f t="shared" si="10"/>
        <v>4.0672336930886326</v>
      </c>
      <c r="E106">
        <f t="shared" si="11"/>
        <v>0.40039319916225102</v>
      </c>
      <c r="F106">
        <f t="shared" si="12"/>
        <v>0.63276630691136759</v>
      </c>
      <c r="G106">
        <f t="shared" si="14"/>
        <v>0.17026163117824594</v>
      </c>
      <c r="H106">
        <f t="shared" si="15"/>
        <v>4.2374953242668782</v>
      </c>
      <c r="I106">
        <f t="shared" si="16"/>
        <v>0.46250467573312193</v>
      </c>
      <c r="J106">
        <f t="shared" si="17"/>
        <v>0.46250467573312193</v>
      </c>
    </row>
    <row r="107" spans="1:10" x14ac:dyDescent="0.25">
      <c r="A107">
        <v>2.218</v>
      </c>
      <c r="B107">
        <f t="shared" si="13"/>
        <v>102</v>
      </c>
      <c r="C107">
        <f t="shared" si="9"/>
        <v>-0.85386350421833201</v>
      </c>
      <c r="D107">
        <f t="shared" si="10"/>
        <v>4.0269392355076903</v>
      </c>
      <c r="E107">
        <f t="shared" si="11"/>
        <v>3.2722611577591469</v>
      </c>
      <c r="F107">
        <f t="shared" si="12"/>
        <v>-1.8089392355076903</v>
      </c>
      <c r="G107">
        <f t="shared" si="14"/>
        <v>0.12731258095056716</v>
      </c>
      <c r="H107">
        <f t="shared" si="15"/>
        <v>4.1542518164582578</v>
      </c>
      <c r="I107">
        <f t="shared" si="16"/>
        <v>-1.9362518164582578</v>
      </c>
      <c r="J107">
        <f t="shared" si="17"/>
        <v>1.9362518164582578</v>
      </c>
    </row>
    <row r="108" spans="1:10" x14ac:dyDescent="0.25">
      <c r="A108">
        <v>2.2679999999999998</v>
      </c>
      <c r="B108">
        <f t="shared" si="13"/>
        <v>103</v>
      </c>
      <c r="C108">
        <f t="shared" si="9"/>
        <v>-0.89390494361509187</v>
      </c>
      <c r="D108">
        <f t="shared" si="10"/>
        <v>3.98689779611093</v>
      </c>
      <c r="E108">
        <f t="shared" si="11"/>
        <v>2.9546096334750129</v>
      </c>
      <c r="F108">
        <f t="shared" si="12"/>
        <v>-1.7188977961109302</v>
      </c>
      <c r="G108">
        <f t="shared" si="14"/>
        <v>-0.36395857418414729</v>
      </c>
      <c r="H108">
        <f t="shared" si="15"/>
        <v>3.6229392219267829</v>
      </c>
      <c r="I108">
        <f t="shared" si="16"/>
        <v>-1.3549392219267831</v>
      </c>
      <c r="J108">
        <f t="shared" si="17"/>
        <v>1.3549392219267831</v>
      </c>
    </row>
    <row r="109" spans="1:10" x14ac:dyDescent="0.25">
      <c r="A109">
        <v>3.6880000000000002</v>
      </c>
      <c r="B109">
        <f t="shared" si="13"/>
        <v>104</v>
      </c>
      <c r="C109">
        <f t="shared" si="9"/>
        <v>-0.93368149968500913</v>
      </c>
      <c r="D109">
        <f t="shared" si="10"/>
        <v>3.9471212400410129</v>
      </c>
      <c r="E109">
        <f t="shared" si="11"/>
        <v>6.714381704039217E-2</v>
      </c>
      <c r="F109">
        <f t="shared" si="12"/>
        <v>-0.25912124004101278</v>
      </c>
      <c r="G109">
        <f t="shared" si="14"/>
        <v>-0.34584223657751911</v>
      </c>
      <c r="H109">
        <f t="shared" si="15"/>
        <v>3.6012790034634938</v>
      </c>
      <c r="I109">
        <f t="shared" si="16"/>
        <v>8.6720996536506334E-2</v>
      </c>
      <c r="J109">
        <f t="shared" si="17"/>
        <v>8.6720996536506334E-2</v>
      </c>
    </row>
    <row r="110" spans="1:10" x14ac:dyDescent="0.25">
      <c r="A110">
        <v>4.5999999999999996</v>
      </c>
      <c r="B110">
        <f t="shared" si="13"/>
        <v>105</v>
      </c>
      <c r="C110">
        <f t="shared" si="9"/>
        <v>-0.97318138577607316</v>
      </c>
      <c r="D110">
        <f t="shared" si="10"/>
        <v>3.9076213539499487</v>
      </c>
      <c r="E110">
        <f t="shared" si="11"/>
        <v>0.47938818950610174</v>
      </c>
      <c r="F110">
        <f t="shared" si="12"/>
        <v>0.69237864605005095</v>
      </c>
      <c r="G110">
        <f t="shared" si="14"/>
        <v>-5.2135193496251765E-2</v>
      </c>
      <c r="H110">
        <f t="shared" si="15"/>
        <v>3.855486160453697</v>
      </c>
      <c r="I110">
        <f t="shared" si="16"/>
        <v>0.74451383954630268</v>
      </c>
      <c r="J110">
        <f t="shared" si="17"/>
        <v>0.74451383954630268</v>
      </c>
    </row>
    <row r="111" spans="1:10" x14ac:dyDescent="0.25">
      <c r="A111">
        <v>3.742</v>
      </c>
      <c r="B111">
        <f t="shared" si="13"/>
        <v>106</v>
      </c>
      <c r="C111">
        <f t="shared" si="9"/>
        <v>-1.0123928972195571</v>
      </c>
      <c r="D111">
        <f t="shared" si="10"/>
        <v>3.8684098425064648</v>
      </c>
      <c r="E111">
        <f t="shared" si="11"/>
        <v>1.5979448282509238E-2</v>
      </c>
      <c r="F111">
        <f t="shared" si="12"/>
        <v>-0.12640984250646481</v>
      </c>
      <c r="G111">
        <f t="shared" si="14"/>
        <v>0.13930658358527023</v>
      </c>
      <c r="H111">
        <f t="shared" si="15"/>
        <v>4.0077164260917346</v>
      </c>
      <c r="I111">
        <f t="shared" si="16"/>
        <v>-0.26571642609173463</v>
      </c>
      <c r="J111">
        <f t="shared" si="17"/>
        <v>0.26571642609173463</v>
      </c>
    </row>
    <row r="112" spans="1:10" x14ac:dyDescent="0.25">
      <c r="A112">
        <v>4.4800000000000004</v>
      </c>
      <c r="B112">
        <f t="shared" si="13"/>
        <v>107</v>
      </c>
      <c r="C112">
        <f t="shared" si="9"/>
        <v>-1.0513044147983663</v>
      </c>
      <c r="D112">
        <f t="shared" si="10"/>
        <v>3.8294983249276555</v>
      </c>
      <c r="E112">
        <f t="shared" si="11"/>
        <v>0.42315242927192659</v>
      </c>
      <c r="F112">
        <f t="shared" si="12"/>
        <v>0.65050167507234491</v>
      </c>
      <c r="G112">
        <f t="shared" si="14"/>
        <v>-2.5433660312300717E-2</v>
      </c>
      <c r="H112">
        <f t="shared" si="15"/>
        <v>3.8040646646153546</v>
      </c>
      <c r="I112">
        <f t="shared" si="16"/>
        <v>0.67593533538464579</v>
      </c>
      <c r="J112">
        <f t="shared" si="17"/>
        <v>0.67593533538464579</v>
      </c>
    </row>
    <row r="113" spans="1:10" x14ac:dyDescent="0.25">
      <c r="A113">
        <v>4.0519999999999996</v>
      </c>
      <c r="B113">
        <f t="shared" si="13"/>
        <v>108</v>
      </c>
      <c r="C113">
        <f t="shared" si="9"/>
        <v>-1.0899044081900637</v>
      </c>
      <c r="D113">
        <f t="shared" si="10"/>
        <v>3.7908983315359581</v>
      </c>
      <c r="E113">
        <f t="shared" si="11"/>
        <v>6.8174081274706227E-2</v>
      </c>
      <c r="F113">
        <f t="shared" si="12"/>
        <v>0.26110166846404148</v>
      </c>
      <c r="G113">
        <f t="shared" si="14"/>
        <v>0.13088093702455578</v>
      </c>
      <c r="H113">
        <f t="shared" si="15"/>
        <v>3.9217792685605137</v>
      </c>
      <c r="I113">
        <f t="shared" si="16"/>
        <v>0.13022073143948587</v>
      </c>
      <c r="J113">
        <f t="shared" si="17"/>
        <v>0.13022073143948587</v>
      </c>
    </row>
    <row r="114" spans="1:10" x14ac:dyDescent="0.25">
      <c r="A114">
        <v>3.0840000000000001</v>
      </c>
      <c r="B114">
        <f t="shared" si="13"/>
        <v>109</v>
      </c>
      <c r="C114">
        <f t="shared" si="9"/>
        <v>-1.1281814393835505</v>
      </c>
      <c r="D114">
        <f t="shared" si="10"/>
        <v>3.7526213003424713</v>
      </c>
      <c r="E114">
        <f t="shared" si="11"/>
        <v>0.44705444327165716</v>
      </c>
      <c r="F114">
        <f t="shared" si="12"/>
        <v>-0.66862130034247125</v>
      </c>
      <c r="G114">
        <f t="shared" si="14"/>
        <v>5.2533655694965146E-2</v>
      </c>
      <c r="H114">
        <f t="shared" si="15"/>
        <v>3.8051549560374363</v>
      </c>
      <c r="I114">
        <f t="shared" si="16"/>
        <v>-0.72115495603743618</v>
      </c>
      <c r="J114">
        <f t="shared" si="17"/>
        <v>0.72115495603743618</v>
      </c>
    </row>
    <row r="115" spans="1:10" x14ac:dyDescent="0.25">
      <c r="A115">
        <v>4.03</v>
      </c>
      <c r="B115">
        <f t="shared" si="13"/>
        <v>110</v>
      </c>
      <c r="C115">
        <f t="shared" si="9"/>
        <v>-1.1661241660683987</v>
      </c>
      <c r="D115">
        <f t="shared" si="10"/>
        <v>3.7146785736576229</v>
      </c>
      <c r="E115">
        <f t="shared" si="11"/>
        <v>9.9427601910591315E-2</v>
      </c>
      <c r="F115">
        <f t="shared" si="12"/>
        <v>0.31532142634237736</v>
      </c>
      <c r="G115">
        <f t="shared" si="14"/>
        <v>-0.1345266056289052</v>
      </c>
      <c r="H115">
        <f t="shared" si="15"/>
        <v>3.5801519680287175</v>
      </c>
      <c r="I115">
        <f t="shared" si="16"/>
        <v>0.44984803197128276</v>
      </c>
      <c r="J115">
        <f t="shared" si="17"/>
        <v>0.44984803197128276</v>
      </c>
    </row>
    <row r="116" spans="1:10" x14ac:dyDescent="0.25">
      <c r="A116">
        <v>2.1150000000000002</v>
      </c>
      <c r="B116">
        <f t="shared" si="13"/>
        <v>111</v>
      </c>
      <c r="C116">
        <f t="shared" si="9"/>
        <v>-1.20372134499582</v>
      </c>
      <c r="D116">
        <f t="shared" si="10"/>
        <v>3.6770813947302017</v>
      </c>
      <c r="E116">
        <f t="shared" si="11"/>
        <v>2.4400982837622514</v>
      </c>
      <c r="F116">
        <f t="shared" si="12"/>
        <v>-1.5620813947302015</v>
      </c>
      <c r="G116">
        <f t="shared" si="14"/>
        <v>6.3442670980086324E-2</v>
      </c>
      <c r="H116">
        <f t="shared" si="15"/>
        <v>3.7405240657102881</v>
      </c>
      <c r="I116">
        <f t="shared" si="16"/>
        <v>-1.6255240657102878</v>
      </c>
      <c r="J116">
        <f t="shared" si="17"/>
        <v>1.6255240657102878</v>
      </c>
    </row>
    <row r="117" spans="1:10" x14ac:dyDescent="0.25">
      <c r="A117">
        <v>4.2300000000000004</v>
      </c>
      <c r="B117">
        <f t="shared" si="13"/>
        <v>112</v>
      </c>
      <c r="C117">
        <f t="shared" si="9"/>
        <v>-1.2409618353102847</v>
      </c>
      <c r="D117">
        <f t="shared" si="10"/>
        <v>3.6398409044157374</v>
      </c>
      <c r="E117">
        <f t="shared" si="11"/>
        <v>0.34828775810083534</v>
      </c>
      <c r="F117">
        <f t="shared" si="12"/>
        <v>0.59015909558426305</v>
      </c>
      <c r="G117">
        <f t="shared" si="14"/>
        <v>-0.31429077661971649</v>
      </c>
      <c r="H117">
        <f t="shared" si="15"/>
        <v>3.3255501277960207</v>
      </c>
      <c r="I117">
        <f t="shared" si="16"/>
        <v>0.90444987220397977</v>
      </c>
      <c r="J117">
        <f t="shared" si="17"/>
        <v>0.90444987220397977</v>
      </c>
    </row>
    <row r="118" spans="1:10" x14ac:dyDescent="0.25">
      <c r="A118">
        <v>4.3609999999999998</v>
      </c>
      <c r="B118">
        <f t="shared" si="13"/>
        <v>113</v>
      </c>
      <c r="C118">
        <f t="shared" si="9"/>
        <v>-1.2778346018507969</v>
      </c>
      <c r="D118">
        <f t="shared" si="10"/>
        <v>3.6029681378752247</v>
      </c>
      <c r="E118">
        <f t="shared" si="11"/>
        <v>0.57461230399635388</v>
      </c>
      <c r="F118">
        <f t="shared" si="12"/>
        <v>0.75803186212477502</v>
      </c>
      <c r="G118">
        <f t="shared" si="14"/>
        <v>0.11874001003155372</v>
      </c>
      <c r="H118">
        <f t="shared" si="15"/>
        <v>3.7217081479067784</v>
      </c>
      <c r="I118">
        <f t="shared" si="16"/>
        <v>0.63929185209322137</v>
      </c>
      <c r="J118">
        <f t="shared" si="17"/>
        <v>0.63929185209322137</v>
      </c>
    </row>
    <row r="119" spans="1:10" x14ac:dyDescent="0.25">
      <c r="A119">
        <v>4.0960000000000001</v>
      </c>
      <c r="B119">
        <f t="shared" si="13"/>
        <v>114</v>
      </c>
      <c r="C119">
        <f t="shared" si="9"/>
        <v>-1.3143287184208514</v>
      </c>
      <c r="D119">
        <f t="shared" si="10"/>
        <v>3.5664740213051704</v>
      </c>
      <c r="E119">
        <f t="shared" si="11"/>
        <v>0.28039776211271716</v>
      </c>
      <c r="F119">
        <f t="shared" si="12"/>
        <v>0.52952597869482965</v>
      </c>
      <c r="G119">
        <f t="shared" si="14"/>
        <v>0.15251601065950474</v>
      </c>
      <c r="H119">
        <f t="shared" si="15"/>
        <v>3.7189900319646751</v>
      </c>
      <c r="I119">
        <f t="shared" si="16"/>
        <v>0.37700996803532494</v>
      </c>
      <c r="J119">
        <f t="shared" si="17"/>
        <v>0.37700996803532494</v>
      </c>
    </row>
    <row r="120" spans="1:10" x14ac:dyDescent="0.25">
      <c r="A120">
        <v>2.262</v>
      </c>
      <c r="B120">
        <f t="shared" si="13"/>
        <v>115</v>
      </c>
      <c r="C120">
        <f t="shared" si="9"/>
        <v>-1.3504333710261012</v>
      </c>
      <c r="D120">
        <f t="shared" si="10"/>
        <v>3.5303693686999207</v>
      </c>
      <c r="E120">
        <f t="shared" si="11"/>
        <v>1.6087608554562354</v>
      </c>
      <c r="F120">
        <f t="shared" si="12"/>
        <v>-1.2683693686999207</v>
      </c>
      <c r="G120">
        <f t="shared" si="14"/>
        <v>0.10654062691339972</v>
      </c>
      <c r="H120">
        <f t="shared" si="15"/>
        <v>3.6369099956133204</v>
      </c>
      <c r="I120">
        <f t="shared" si="16"/>
        <v>-1.3749099956133204</v>
      </c>
      <c r="J120">
        <f t="shared" si="17"/>
        <v>1.3749099956133204</v>
      </c>
    </row>
    <row r="121" spans="1:10" x14ac:dyDescent="0.25">
      <c r="A121">
        <v>4.2750000000000004</v>
      </c>
      <c r="B121">
        <f t="shared" si="13"/>
        <v>116</v>
      </c>
      <c r="C121">
        <f t="shared" si="9"/>
        <v>-1.3861378610787765</v>
      </c>
      <c r="D121">
        <f t="shared" si="10"/>
        <v>3.4946648786472454</v>
      </c>
      <c r="E121">
        <f t="shared" si="11"/>
        <v>0.60892290161661877</v>
      </c>
      <c r="F121">
        <f t="shared" si="12"/>
        <v>0.78033512135275496</v>
      </c>
      <c r="G121">
        <f t="shared" si="14"/>
        <v>-0.25519591698242405</v>
      </c>
      <c r="H121">
        <f t="shared" si="15"/>
        <v>3.2394689616648211</v>
      </c>
      <c r="I121">
        <f t="shared" si="16"/>
        <v>1.0355310383351792</v>
      </c>
      <c r="J121">
        <f t="shared" si="17"/>
        <v>1.0355310383351792</v>
      </c>
    </row>
    <row r="122" spans="1:10" x14ac:dyDescent="0.25">
      <c r="A122">
        <v>4.2350000000000003</v>
      </c>
      <c r="B122">
        <f t="shared" si="13"/>
        <v>117</v>
      </c>
      <c r="C122">
        <f t="shared" si="9"/>
        <v>-1.4214316085679093</v>
      </c>
      <c r="D122">
        <f t="shared" si="10"/>
        <v>3.4593711311581128</v>
      </c>
      <c r="E122">
        <f t="shared" si="11"/>
        <v>0.60160014218094593</v>
      </c>
      <c r="F122">
        <f t="shared" si="12"/>
        <v>0.77562886884188753</v>
      </c>
      <c r="G122">
        <f t="shared" si="14"/>
        <v>0.15700342641617429</v>
      </c>
      <c r="H122">
        <f t="shared" si="15"/>
        <v>3.6163745575742872</v>
      </c>
      <c r="I122">
        <f t="shared" si="16"/>
        <v>0.61862544242571316</v>
      </c>
      <c r="J122">
        <f t="shared" si="17"/>
        <v>0.61862544242571316</v>
      </c>
    </row>
    <row r="123" spans="1:10" x14ac:dyDescent="0.25">
      <c r="A123">
        <v>4.1449999999999996</v>
      </c>
      <c r="B123">
        <f t="shared" si="13"/>
        <v>118</v>
      </c>
      <c r="C123">
        <f t="shared" si="9"/>
        <v>-1.4563041551944165</v>
      </c>
      <c r="D123">
        <f t="shared" si="10"/>
        <v>3.4244985845316052</v>
      </c>
      <c r="E123">
        <f t="shared" si="11"/>
        <v>0.51912228969195995</v>
      </c>
      <c r="F123">
        <f t="shared" si="12"/>
        <v>0.72050141546839441</v>
      </c>
      <c r="G123">
        <f t="shared" si="14"/>
        <v>0.15605652841098777</v>
      </c>
      <c r="H123">
        <f t="shared" si="15"/>
        <v>3.580555112942593</v>
      </c>
      <c r="I123">
        <f t="shared" si="16"/>
        <v>0.56444488705740659</v>
      </c>
      <c r="J123">
        <f t="shared" si="17"/>
        <v>0.56444488705740659</v>
      </c>
    </row>
    <row r="124" spans="1:10" x14ac:dyDescent="0.25">
      <c r="A124">
        <v>3.3380000000000001</v>
      </c>
      <c r="B124">
        <f t="shared" si="13"/>
        <v>119</v>
      </c>
      <c r="C124">
        <f t="shared" si="9"/>
        <v>-1.4907451674701218</v>
      </c>
      <c r="D124">
        <f t="shared" si="10"/>
        <v>3.3900575722559001</v>
      </c>
      <c r="E124">
        <f t="shared" si="11"/>
        <v>2.7099908291782515E-3</v>
      </c>
      <c r="F124">
        <f t="shared" si="12"/>
        <v>-5.205757225590002E-2</v>
      </c>
      <c r="G124">
        <f t="shared" si="14"/>
        <v>0.14496488479224096</v>
      </c>
      <c r="H124">
        <f t="shared" si="15"/>
        <v>3.5350224570481412</v>
      </c>
      <c r="I124">
        <f t="shared" si="16"/>
        <v>-0.19702245704814114</v>
      </c>
      <c r="J124">
        <f t="shared" si="17"/>
        <v>0.19702245704814114</v>
      </c>
    </row>
    <row r="125" spans="1:10" x14ac:dyDescent="0.25">
      <c r="A125">
        <v>4.0369999999999999</v>
      </c>
      <c r="B125">
        <f t="shared" si="13"/>
        <v>120</v>
      </c>
      <c r="C125">
        <f t="shared" si="9"/>
        <v>-1.52474443977979</v>
      </c>
      <c r="D125">
        <f t="shared" si="10"/>
        <v>3.3560582999462318</v>
      </c>
      <c r="E125">
        <f t="shared" si="11"/>
        <v>0.46368159887211585</v>
      </c>
      <c r="F125">
        <f t="shared" si="12"/>
        <v>0.68094170005376808</v>
      </c>
      <c r="G125">
        <f t="shared" si="14"/>
        <v>-1.0473983537887083E-2</v>
      </c>
      <c r="H125">
        <f t="shared" si="15"/>
        <v>3.345584316408345</v>
      </c>
      <c r="I125">
        <f t="shared" si="16"/>
        <v>0.69141568359165495</v>
      </c>
      <c r="J125">
        <f t="shared" si="17"/>
        <v>0.69141568359165495</v>
      </c>
    </row>
    <row r="126" spans="1:10" x14ac:dyDescent="0.25">
      <c r="A126">
        <v>4.0679999999999996</v>
      </c>
      <c r="B126">
        <f t="shared" si="13"/>
        <v>121</v>
      </c>
      <c r="C126">
        <f t="shared" si="9"/>
        <v>-1.5582918974052722</v>
      </c>
      <c r="D126">
        <f t="shared" si="10"/>
        <v>3.3225108423207494</v>
      </c>
      <c r="E126">
        <f t="shared" si="11"/>
        <v>0.55575408421731787</v>
      </c>
      <c r="F126">
        <f t="shared" si="12"/>
        <v>0.74548915767925017</v>
      </c>
      <c r="G126">
        <f t="shared" si="14"/>
        <v>0.13700547005081815</v>
      </c>
      <c r="H126">
        <f t="shared" si="15"/>
        <v>3.4595163123715675</v>
      </c>
      <c r="I126">
        <f t="shared" si="16"/>
        <v>0.60848368762843208</v>
      </c>
      <c r="J126">
        <f t="shared" si="17"/>
        <v>0.60848368762843208</v>
      </c>
    </row>
    <row r="127" spans="1:10" x14ac:dyDescent="0.25">
      <c r="A127">
        <v>3.9809999999999999</v>
      </c>
      <c r="B127">
        <f t="shared" si="13"/>
        <v>122</v>
      </c>
      <c r="C127">
        <f t="shared" si="9"/>
        <v>-1.5913775995108588</v>
      </c>
      <c r="D127">
        <f t="shared" si="10"/>
        <v>3.2894251402151631</v>
      </c>
      <c r="E127">
        <f t="shared" si="11"/>
        <v>0.47827578668641668</v>
      </c>
      <c r="F127">
        <f t="shared" si="12"/>
        <v>0.69157485978483679</v>
      </c>
      <c r="G127">
        <f t="shared" si="14"/>
        <v>0.14999241852506512</v>
      </c>
      <c r="H127">
        <f t="shared" si="15"/>
        <v>3.439417558740228</v>
      </c>
      <c r="I127">
        <f t="shared" si="16"/>
        <v>0.54158244125977184</v>
      </c>
      <c r="J127">
        <f t="shared" si="17"/>
        <v>0.54158244125977184</v>
      </c>
    </row>
    <row r="128" spans="1:10" x14ac:dyDescent="0.25">
      <c r="A128">
        <v>3.585</v>
      </c>
      <c r="B128">
        <f t="shared" si="13"/>
        <v>123</v>
      </c>
      <c r="C128">
        <f t="shared" si="9"/>
        <v>-1.6239917420889689</v>
      </c>
      <c r="D128">
        <f t="shared" si="10"/>
        <v>3.2568109976370527</v>
      </c>
      <c r="E128">
        <f t="shared" si="11"/>
        <v>0.10770802127198659</v>
      </c>
      <c r="F128">
        <f t="shared" si="12"/>
        <v>0.32818900236294724</v>
      </c>
      <c r="G128">
        <f t="shared" si="14"/>
        <v>0.13914486178870916</v>
      </c>
      <c r="H128">
        <f t="shared" si="15"/>
        <v>3.3959558594257619</v>
      </c>
      <c r="I128">
        <f t="shared" si="16"/>
        <v>0.18904414057423802</v>
      </c>
      <c r="J128">
        <f t="shared" si="17"/>
        <v>0.18904414057423802</v>
      </c>
    </row>
    <row r="129" spans="1:10" x14ac:dyDescent="0.25">
      <c r="A129">
        <v>3.3069999999999999</v>
      </c>
      <c r="B129">
        <f t="shared" si="13"/>
        <v>124</v>
      </c>
      <c r="C129">
        <f t="shared" si="9"/>
        <v>-1.6561246608652855</v>
      </c>
      <c r="D129">
        <f t="shared" si="10"/>
        <v>3.2246780788607365</v>
      </c>
      <c r="E129">
        <f t="shared" si="11"/>
        <v>6.7768987000591018E-3</v>
      </c>
      <c r="F129">
        <f t="shared" si="12"/>
        <v>8.2321921139263399E-2</v>
      </c>
      <c r="G129">
        <f t="shared" si="14"/>
        <v>6.6031627275424984E-2</v>
      </c>
      <c r="H129">
        <f t="shared" si="15"/>
        <v>3.2907097061361616</v>
      </c>
      <c r="I129">
        <f t="shared" si="16"/>
        <v>1.629029386383829E-2</v>
      </c>
      <c r="J129">
        <f t="shared" si="17"/>
        <v>1.629029386383829E-2</v>
      </c>
    </row>
    <row r="130" spans="1:10" x14ac:dyDescent="0.25">
      <c r="A130">
        <v>3.0339999999999998</v>
      </c>
      <c r="B130">
        <f t="shared" si="13"/>
        <v>125</v>
      </c>
      <c r="C130">
        <f t="shared" si="9"/>
        <v>-1.6877668341624907</v>
      </c>
      <c r="D130">
        <f t="shared" si="10"/>
        <v>3.1930359055635309</v>
      </c>
      <c r="E130">
        <f t="shared" si="11"/>
        <v>2.5292419258412378E-2</v>
      </c>
      <c r="F130">
        <f t="shared" si="12"/>
        <v>-0.15903590556353109</v>
      </c>
      <c r="G130">
        <f t="shared" si="14"/>
        <v>1.6563170533219793E-2</v>
      </c>
      <c r="H130">
        <f t="shared" si="15"/>
        <v>3.2095990760967505</v>
      </c>
      <c r="I130">
        <f t="shared" si="16"/>
        <v>-0.17559907609675074</v>
      </c>
      <c r="J130">
        <f t="shared" si="17"/>
        <v>0.17559907609675074</v>
      </c>
    </row>
    <row r="131" spans="1:10" x14ac:dyDescent="0.25">
      <c r="A131">
        <v>2.6349999999999998</v>
      </c>
      <c r="B131">
        <f t="shared" si="13"/>
        <v>126</v>
      </c>
      <c r="C131">
        <f t="shared" si="9"/>
        <v>-1.7189088857217427</v>
      </c>
      <c r="D131">
        <f t="shared" si="10"/>
        <v>3.1618938540042789</v>
      </c>
      <c r="E131">
        <f t="shared" si="11"/>
        <v>0.27761713338748262</v>
      </c>
      <c r="F131">
        <f t="shared" si="12"/>
        <v>-0.52689385400427913</v>
      </c>
      <c r="G131">
        <f t="shared" si="14"/>
        <v>-3.1998024199382455E-2</v>
      </c>
      <c r="H131">
        <f t="shared" si="15"/>
        <v>3.1298958298048967</v>
      </c>
      <c r="I131">
        <f t="shared" si="16"/>
        <v>-0.49489582980489688</v>
      </c>
      <c r="J131">
        <f t="shared" si="17"/>
        <v>0.49489582980489688</v>
      </c>
    </row>
    <row r="132" spans="1:10" x14ac:dyDescent="0.25">
      <c r="A132">
        <v>3.754</v>
      </c>
      <c r="B132">
        <f t="shared" si="13"/>
        <v>127</v>
      </c>
      <c r="C132">
        <f t="shared" si="9"/>
        <v>-1.7495415874810623</v>
      </c>
      <c r="D132">
        <f t="shared" si="10"/>
        <v>3.1312611522449596</v>
      </c>
      <c r="E132">
        <f t="shared" si="11"/>
        <v>0.38780367250327541</v>
      </c>
      <c r="F132">
        <f t="shared" si="12"/>
        <v>0.6227388477550404</v>
      </c>
      <c r="G132">
        <f t="shared" si="14"/>
        <v>-0.10601104342566095</v>
      </c>
      <c r="H132">
        <f t="shared" si="15"/>
        <v>3.0252501088192987</v>
      </c>
      <c r="I132">
        <f t="shared" si="16"/>
        <v>0.72874989118070133</v>
      </c>
      <c r="J132">
        <f t="shared" si="17"/>
        <v>0.72874989118070133</v>
      </c>
    </row>
    <row r="133" spans="1:10" x14ac:dyDescent="0.25">
      <c r="A133">
        <v>3.633</v>
      </c>
      <c r="B133">
        <f t="shared" si="13"/>
        <v>128</v>
      </c>
      <c r="C133">
        <f t="shared" si="9"/>
        <v>-1.7796558623098115</v>
      </c>
      <c r="D133">
        <f t="shared" si="10"/>
        <v>3.1011468774162103</v>
      </c>
      <c r="E133">
        <f t="shared" si="11"/>
        <v>0.28286774400212761</v>
      </c>
      <c r="F133">
        <f t="shared" si="12"/>
        <v>0.53185312258378969</v>
      </c>
      <c r="G133">
        <f t="shared" si="14"/>
        <v>0.12529505616831413</v>
      </c>
      <c r="H133">
        <f t="shared" si="15"/>
        <v>3.2264419335845242</v>
      </c>
      <c r="I133">
        <f t="shared" si="16"/>
        <v>0.40655806641547576</v>
      </c>
      <c r="J133">
        <f t="shared" si="17"/>
        <v>0.40655806641547576</v>
      </c>
    </row>
    <row r="134" spans="1:10" x14ac:dyDescent="0.25">
      <c r="A134">
        <v>3.6920000000000002</v>
      </c>
      <c r="B134">
        <f t="shared" si="13"/>
        <v>129</v>
      </c>
      <c r="C134">
        <f t="shared" si="9"/>
        <v>-1.8092427866984391</v>
      </c>
      <c r="D134">
        <f t="shared" si="10"/>
        <v>3.0715599530275828</v>
      </c>
      <c r="E134">
        <f t="shared" si="11"/>
        <v>0.38494585188713548</v>
      </c>
      <c r="F134">
        <f t="shared" si="12"/>
        <v>0.62044004697241739</v>
      </c>
      <c r="G134">
        <f t="shared" si="14"/>
        <v>0.10700884826385848</v>
      </c>
      <c r="H134">
        <f t="shared" si="15"/>
        <v>3.1785688012914415</v>
      </c>
      <c r="I134">
        <f t="shared" si="16"/>
        <v>0.51343119870855869</v>
      </c>
      <c r="J134">
        <f t="shared" si="17"/>
        <v>0.51343119870855869</v>
      </c>
    </row>
    <row r="135" spans="1:10" x14ac:dyDescent="0.25">
      <c r="A135">
        <v>3.5750000000000002</v>
      </c>
      <c r="B135">
        <f t="shared" si="13"/>
        <v>130</v>
      </c>
      <c r="C135">
        <f t="shared" ref="C135:C198" si="18">C$2*COS(C$1*B135)+C$3*SIN(C$1*B135)</f>
        <v>-1.8382935934027107</v>
      </c>
      <c r="D135">
        <f t="shared" ref="D135:D198" si="19">$A$2+C135</f>
        <v>3.0425091463233112</v>
      </c>
      <c r="E135">
        <f t="shared" ref="E135:E198" si="20">(A135-D135)^2</f>
        <v>0.28354650924932906</v>
      </c>
      <c r="F135">
        <f t="shared" ref="F135:F198" si="21">A135-D135</f>
        <v>0.53249085367668902</v>
      </c>
      <c r="G135">
        <f t="shared" si="14"/>
        <v>0.12483253745085038</v>
      </c>
      <c r="H135">
        <f t="shared" si="15"/>
        <v>3.1673416837741617</v>
      </c>
      <c r="I135">
        <f t="shared" si="16"/>
        <v>0.40765831622583848</v>
      </c>
      <c r="J135">
        <f t="shared" si="17"/>
        <v>0.40765831622583848</v>
      </c>
    </row>
    <row r="136" spans="1:10" x14ac:dyDescent="0.25">
      <c r="A136">
        <v>1.38</v>
      </c>
      <c r="B136">
        <f t="shared" ref="B136:B199" si="22">B135+1</f>
        <v>131</v>
      </c>
      <c r="C136">
        <f t="shared" si="18"/>
        <v>-1.8667996740416328</v>
      </c>
      <c r="D136">
        <f t="shared" si="19"/>
        <v>3.0140030656843892</v>
      </c>
      <c r="E136">
        <f t="shared" si="20"/>
        <v>2.669966018665983</v>
      </c>
      <c r="F136">
        <f t="shared" si="21"/>
        <v>-1.6340030656843894</v>
      </c>
      <c r="G136">
        <f t="shared" ref="G136:G199" si="23">$H$1*F135</f>
        <v>0.10713715975974983</v>
      </c>
      <c r="H136">
        <f t="shared" ref="H136:H199" si="24">D136+G136</f>
        <v>3.1211402254441389</v>
      </c>
      <c r="I136">
        <f t="shared" ref="I136:I199" si="25">A136-H136</f>
        <v>-1.741140225444139</v>
      </c>
      <c r="J136">
        <f t="shared" ref="J136:J199" si="26">ABS(I136)</f>
        <v>1.741140225444139</v>
      </c>
    </row>
    <row r="137" spans="1:10" x14ac:dyDescent="0.25">
      <c r="A137">
        <v>3.5169999999999999</v>
      </c>
      <c r="B137">
        <f t="shared" si="22"/>
        <v>132</v>
      </c>
      <c r="C137">
        <f t="shared" si="18"/>
        <v>-1.8947525816482989</v>
      </c>
      <c r="D137">
        <f t="shared" si="19"/>
        <v>2.986050158077723</v>
      </c>
      <c r="E137">
        <f t="shared" si="20"/>
        <v>0.28190773463729085</v>
      </c>
      <c r="F137">
        <f t="shared" si="21"/>
        <v>0.5309498419222769</v>
      </c>
      <c r="G137">
        <f t="shared" si="23"/>
        <v>-0.32876141681569915</v>
      </c>
      <c r="H137">
        <f t="shared" si="24"/>
        <v>2.6572887412620236</v>
      </c>
      <c r="I137">
        <f t="shared" si="25"/>
        <v>0.85971125873797627</v>
      </c>
      <c r="J137">
        <f t="shared" si="26"/>
        <v>0.85971125873797627</v>
      </c>
    </row>
    <row r="138" spans="1:10" x14ac:dyDescent="0.25">
      <c r="A138">
        <v>2.202</v>
      </c>
      <c r="B138">
        <f t="shared" si="22"/>
        <v>133</v>
      </c>
      <c r="C138">
        <f t="shared" si="18"/>
        <v>-1.9221440331729127</v>
      </c>
      <c r="D138">
        <f t="shared" si="19"/>
        <v>2.9586587065531091</v>
      </c>
      <c r="E138">
        <f t="shared" si="20"/>
        <v>0.57253239820262425</v>
      </c>
      <c r="F138">
        <f t="shared" si="21"/>
        <v>-0.75665870655310918</v>
      </c>
      <c r="G138">
        <f t="shared" si="23"/>
        <v>0.10682710819476211</v>
      </c>
      <c r="H138">
        <f t="shared" si="24"/>
        <v>3.0654858147478712</v>
      </c>
      <c r="I138">
        <f t="shared" si="25"/>
        <v>-0.86348581474787123</v>
      </c>
      <c r="J138">
        <f t="shared" si="26"/>
        <v>0.86348581474787123</v>
      </c>
    </row>
    <row r="139" spans="1:10" x14ac:dyDescent="0.25">
      <c r="A139">
        <v>3.2629999999999999</v>
      </c>
      <c r="B139">
        <f t="shared" si="22"/>
        <v>134</v>
      </c>
      <c r="C139">
        <f t="shared" si="18"/>
        <v>-1.9489659119372318</v>
      </c>
      <c r="D139">
        <f t="shared" si="19"/>
        <v>2.9318368277887901</v>
      </c>
      <c r="E139">
        <f t="shared" si="20"/>
        <v>0.10966904662899142</v>
      </c>
      <c r="F139">
        <f t="shared" si="21"/>
        <v>0.33116317221120983</v>
      </c>
      <c r="G139">
        <f t="shared" si="23"/>
        <v>-0.15223973175848557</v>
      </c>
      <c r="H139">
        <f t="shared" si="24"/>
        <v>2.7795970960303045</v>
      </c>
      <c r="I139">
        <f t="shared" si="25"/>
        <v>0.48340290396969543</v>
      </c>
      <c r="J139">
        <f t="shared" si="26"/>
        <v>0.48340290396969543</v>
      </c>
    </row>
    <row r="140" spans="1:10" x14ac:dyDescent="0.25">
      <c r="A140">
        <v>3.2509999999999999</v>
      </c>
      <c r="B140">
        <f t="shared" si="22"/>
        <v>135</v>
      </c>
      <c r="C140">
        <f t="shared" si="18"/>
        <v>-1.9752102700397143</v>
      </c>
      <c r="D140">
        <f t="shared" si="19"/>
        <v>2.9055924696863076</v>
      </c>
      <c r="E140">
        <f t="shared" si="20"/>
        <v>0.11930636199740427</v>
      </c>
      <c r="F140">
        <f t="shared" si="21"/>
        <v>0.34540753031369231</v>
      </c>
      <c r="G140">
        <f t="shared" si="23"/>
        <v>6.6630030248895411E-2</v>
      </c>
      <c r="H140">
        <f t="shared" si="24"/>
        <v>2.9722224999352029</v>
      </c>
      <c r="I140">
        <f t="shared" si="25"/>
        <v>0.27877750006479696</v>
      </c>
      <c r="J140">
        <f t="shared" si="26"/>
        <v>0.27877750006479696</v>
      </c>
    </row>
    <row r="141" spans="1:10" x14ac:dyDescent="0.25">
      <c r="A141">
        <v>3.5179999999999998</v>
      </c>
      <c r="B141">
        <f t="shared" si="22"/>
        <v>136</v>
      </c>
      <c r="C141">
        <f t="shared" si="18"/>
        <v>-2.000869330710656</v>
      </c>
      <c r="D141">
        <f t="shared" si="19"/>
        <v>2.8799334090153659</v>
      </c>
      <c r="E141">
        <f t="shared" si="20"/>
        <v>0.40712897453075214</v>
      </c>
      <c r="F141">
        <f t="shared" si="21"/>
        <v>0.63806659098463392</v>
      </c>
      <c r="G141">
        <f t="shared" si="23"/>
        <v>6.9495995099114888E-2</v>
      </c>
      <c r="H141">
        <f t="shared" si="24"/>
        <v>2.9494294041144808</v>
      </c>
      <c r="I141">
        <f t="shared" si="25"/>
        <v>0.56857059588551895</v>
      </c>
      <c r="J141">
        <f t="shared" si="26"/>
        <v>0.56857059588551895</v>
      </c>
    </row>
    <row r="142" spans="1:10" x14ac:dyDescent="0.25">
      <c r="A142">
        <v>3.2170000000000001</v>
      </c>
      <c r="B142">
        <f t="shared" si="22"/>
        <v>137</v>
      </c>
      <c r="C142">
        <f t="shared" si="18"/>
        <v>-2.0259354906166109</v>
      </c>
      <c r="D142">
        <f t="shared" si="19"/>
        <v>2.8548672491094109</v>
      </c>
      <c r="E142">
        <f t="shared" si="20"/>
        <v>0.1311401292675855</v>
      </c>
      <c r="F142">
        <f t="shared" si="21"/>
        <v>0.36213275089058916</v>
      </c>
      <c r="G142">
        <f t="shared" si="23"/>
        <v>0.12837899810610834</v>
      </c>
      <c r="H142">
        <f t="shared" si="24"/>
        <v>2.9832462472155195</v>
      </c>
      <c r="I142">
        <f t="shared" si="25"/>
        <v>0.23375375278448063</v>
      </c>
      <c r="J142">
        <f t="shared" si="26"/>
        <v>0.23375375278448063</v>
      </c>
    </row>
    <row r="143" spans="1:10" x14ac:dyDescent="0.25">
      <c r="A143">
        <v>2.2400000000000002</v>
      </c>
      <c r="B143">
        <f t="shared" si="22"/>
        <v>138</v>
      </c>
      <c r="C143">
        <f t="shared" si="18"/>
        <v>-2.0504013221134265</v>
      </c>
      <c r="D143">
        <f t="shared" si="19"/>
        <v>2.8304014176125953</v>
      </c>
      <c r="E143">
        <f t="shared" si="20"/>
        <v>0.34857383391896196</v>
      </c>
      <c r="F143">
        <f t="shared" si="21"/>
        <v>-0.59040141761259513</v>
      </c>
      <c r="G143">
        <f t="shared" si="23"/>
        <v>7.2861109479186531E-2</v>
      </c>
      <c r="H143">
        <f t="shared" si="24"/>
        <v>2.903262527091782</v>
      </c>
      <c r="I143">
        <f t="shared" si="25"/>
        <v>-0.6632625270917818</v>
      </c>
      <c r="J143">
        <f t="shared" si="26"/>
        <v>0.6632625270917818</v>
      </c>
    </row>
    <row r="144" spans="1:10" x14ac:dyDescent="0.25">
      <c r="A144">
        <v>2.968</v>
      </c>
      <c r="B144">
        <f t="shared" si="22"/>
        <v>139</v>
      </c>
      <c r="C144">
        <f t="shared" si="18"/>
        <v>-2.0742595754472157</v>
      </c>
      <c r="D144">
        <f t="shared" si="19"/>
        <v>2.8065431642788061</v>
      </c>
      <c r="E144">
        <f t="shared" si="20"/>
        <v>2.6068309801100576E-2</v>
      </c>
      <c r="F144">
        <f t="shared" si="21"/>
        <v>0.16145683572119385</v>
      </c>
      <c r="G144">
        <f t="shared" si="23"/>
        <v>-0.11878876522365413</v>
      </c>
      <c r="H144">
        <f t="shared" si="24"/>
        <v>2.687754399055152</v>
      </c>
      <c r="I144">
        <f t="shared" si="25"/>
        <v>0.28024560094484796</v>
      </c>
      <c r="J144">
        <f t="shared" si="26"/>
        <v>0.28024560094484796</v>
      </c>
    </row>
    <row r="145" spans="1:10" x14ac:dyDescent="0.25">
      <c r="A145">
        <v>3.29</v>
      </c>
      <c r="B145">
        <f t="shared" si="22"/>
        <v>140</v>
      </c>
      <c r="C145">
        <f t="shared" si="18"/>
        <v>-2.0975031809026121</v>
      </c>
      <c r="D145">
        <f t="shared" si="19"/>
        <v>2.7832995588234097</v>
      </c>
      <c r="E145">
        <f t="shared" si="20"/>
        <v>0.25674533708855124</v>
      </c>
      <c r="F145">
        <f t="shared" si="21"/>
        <v>0.5067004411765903</v>
      </c>
      <c r="G145">
        <f t="shared" si="23"/>
        <v>3.2485115347104201E-2</v>
      </c>
      <c r="H145">
        <f t="shared" si="24"/>
        <v>2.8157846741705139</v>
      </c>
      <c r="I145">
        <f t="shared" si="25"/>
        <v>0.47421532582948611</v>
      </c>
      <c r="J145">
        <f t="shared" si="26"/>
        <v>0.47421532582948611</v>
      </c>
    </row>
    <row r="146" spans="1:10" x14ac:dyDescent="0.25">
      <c r="A146">
        <v>3.3740000000000001</v>
      </c>
      <c r="B146">
        <f t="shared" si="22"/>
        <v>141</v>
      </c>
      <c r="C146">
        <f t="shared" si="18"/>
        <v>-2.1201252508976811</v>
      </c>
      <c r="D146">
        <f t="shared" si="19"/>
        <v>2.7606774888283407</v>
      </c>
      <c r="E146">
        <f t="shared" si="20"/>
        <v>0.37616450270991025</v>
      </c>
      <c r="F146">
        <f t="shared" si="21"/>
        <v>0.61332251117165937</v>
      </c>
      <c r="G146">
        <f t="shared" si="23"/>
        <v>0.10194812876472996</v>
      </c>
      <c r="H146">
        <f t="shared" si="24"/>
        <v>2.8626256175930709</v>
      </c>
      <c r="I146">
        <f t="shared" si="25"/>
        <v>0.51137438240692923</v>
      </c>
      <c r="J146">
        <f t="shared" si="26"/>
        <v>0.51137438240692923</v>
      </c>
    </row>
    <row r="147" spans="1:10" x14ac:dyDescent="0.25">
      <c r="A147">
        <v>3.1840000000000002</v>
      </c>
      <c r="B147">
        <f t="shared" si="22"/>
        <v>142</v>
      </c>
      <c r="C147">
        <f t="shared" si="18"/>
        <v>-2.1421190820248581</v>
      </c>
      <c r="D147">
        <f t="shared" si="19"/>
        <v>2.7386836577011637</v>
      </c>
      <c r="E147">
        <f t="shared" si="20"/>
        <v>0.19830664471841447</v>
      </c>
      <c r="F147">
        <f t="shared" si="21"/>
        <v>0.44531634229883643</v>
      </c>
      <c r="G147">
        <f t="shared" si="23"/>
        <v>0.12340048924773786</v>
      </c>
      <c r="H147">
        <f t="shared" si="24"/>
        <v>2.8620841469489018</v>
      </c>
      <c r="I147">
        <f t="shared" si="25"/>
        <v>0.32191585305109838</v>
      </c>
      <c r="J147">
        <f t="shared" si="26"/>
        <v>0.32191585305109838</v>
      </c>
    </row>
    <row r="148" spans="1:10" x14ac:dyDescent="0.25">
      <c r="A148">
        <v>3.1760000000000002</v>
      </c>
      <c r="B148">
        <f t="shared" si="22"/>
        <v>143</v>
      </c>
      <c r="C148">
        <f t="shared" si="18"/>
        <v>-2.1634781570373152</v>
      </c>
      <c r="D148">
        <f t="shared" si="19"/>
        <v>2.7173245826887067</v>
      </c>
      <c r="E148">
        <f t="shared" si="20"/>
        <v>0.21038313844568921</v>
      </c>
      <c r="F148">
        <f t="shared" si="21"/>
        <v>0.45867541731129347</v>
      </c>
      <c r="G148">
        <f t="shared" si="23"/>
        <v>8.9597648070525879E-2</v>
      </c>
      <c r="H148">
        <f t="shared" si="24"/>
        <v>2.8069222307592328</v>
      </c>
      <c r="I148">
        <f t="shared" si="25"/>
        <v>0.36907776924076741</v>
      </c>
      <c r="J148">
        <f t="shared" si="26"/>
        <v>0.36907776924076741</v>
      </c>
    </row>
    <row r="149" spans="1:10" x14ac:dyDescent="0.25">
      <c r="A149">
        <v>3.0390000000000001</v>
      </c>
      <c r="B149">
        <f t="shared" si="22"/>
        <v>144</v>
      </c>
      <c r="C149">
        <f t="shared" si="18"/>
        <v>-2.1841961467801596</v>
      </c>
      <c r="D149">
        <f t="shared" si="19"/>
        <v>2.6966065929458622</v>
      </c>
      <c r="E149">
        <f t="shared" si="20"/>
        <v>0.11723324519414056</v>
      </c>
      <c r="F149">
        <f t="shared" si="21"/>
        <v>0.3423934070541379</v>
      </c>
      <c r="G149">
        <f t="shared" si="23"/>
        <v>9.2285493963032247E-2</v>
      </c>
      <c r="H149">
        <f t="shared" si="24"/>
        <v>2.7888920869088945</v>
      </c>
      <c r="I149">
        <f t="shared" si="25"/>
        <v>0.25010791309110569</v>
      </c>
      <c r="J149">
        <f t="shared" si="26"/>
        <v>0.25010791309110569</v>
      </c>
    </row>
    <row r="150" spans="1:10" x14ac:dyDescent="0.25">
      <c r="A150">
        <v>2.665</v>
      </c>
      <c r="B150">
        <f t="shared" si="22"/>
        <v>145</v>
      </c>
      <c r="C150">
        <f t="shared" si="18"/>
        <v>-2.2042669120658989</v>
      </c>
      <c r="D150">
        <f t="shared" si="19"/>
        <v>2.676535827660123</v>
      </c>
      <c r="E150">
        <f t="shared" si="20"/>
        <v>1.3307531980405785E-4</v>
      </c>
      <c r="F150">
        <f t="shared" si="21"/>
        <v>-1.1535827660122955E-2</v>
      </c>
      <c r="G150">
        <f t="shared" si="23"/>
        <v>6.8889553499292544E-2</v>
      </c>
      <c r="H150">
        <f t="shared" si="24"/>
        <v>2.7454253811594156</v>
      </c>
      <c r="I150">
        <f t="shared" si="25"/>
        <v>-8.0425381159415554E-2</v>
      </c>
      <c r="J150">
        <f t="shared" si="26"/>
        <v>8.0425381159415554E-2</v>
      </c>
    </row>
    <row r="151" spans="1:10" x14ac:dyDescent="0.25">
      <c r="A151">
        <v>3.28</v>
      </c>
      <c r="B151">
        <f t="shared" si="22"/>
        <v>146</v>
      </c>
      <c r="C151">
        <f t="shared" si="18"/>
        <v>-2.2236845054936181</v>
      </c>
      <c r="D151">
        <f t="shared" si="19"/>
        <v>2.6571182342324038</v>
      </c>
      <c r="E151">
        <f t="shared" si="20"/>
        <v>0.38798169412575834</v>
      </c>
      <c r="F151">
        <f t="shared" si="21"/>
        <v>0.62288176576759602</v>
      </c>
      <c r="G151">
        <f t="shared" si="23"/>
        <v>-2.3210085252167384E-3</v>
      </c>
      <c r="H151">
        <f t="shared" si="24"/>
        <v>2.654797225707187</v>
      </c>
      <c r="I151">
        <f t="shared" si="25"/>
        <v>0.62520277429281279</v>
      </c>
      <c r="J151">
        <f t="shared" si="26"/>
        <v>0.62520277429281279</v>
      </c>
    </row>
    <row r="152" spans="1:10" x14ac:dyDescent="0.25">
      <c r="A152">
        <v>2.8660000000000001</v>
      </c>
      <c r="B152">
        <f t="shared" si="22"/>
        <v>147</v>
      </c>
      <c r="C152">
        <f t="shared" si="18"/>
        <v>-2.2424431732113161</v>
      </c>
      <c r="D152">
        <f t="shared" si="19"/>
        <v>2.6383595665147057</v>
      </c>
      <c r="E152">
        <f t="shared" si="20"/>
        <v>5.1820166957372737E-2</v>
      </c>
      <c r="F152">
        <f t="shared" si="21"/>
        <v>0.22764043348529439</v>
      </c>
      <c r="G152">
        <f t="shared" si="23"/>
        <v>0.1253238112724403</v>
      </c>
      <c r="H152">
        <f t="shared" si="24"/>
        <v>2.7636833777871459</v>
      </c>
      <c r="I152">
        <f t="shared" si="25"/>
        <v>0.1023166222128542</v>
      </c>
      <c r="J152">
        <f t="shared" si="26"/>
        <v>0.1023166222128542</v>
      </c>
    </row>
    <row r="153" spans="1:10" x14ac:dyDescent="0.25">
      <c r="A153">
        <v>2.1280000000000001</v>
      </c>
      <c r="B153">
        <f t="shared" si="22"/>
        <v>148</v>
      </c>
      <c r="C153">
        <f t="shared" si="18"/>
        <v>-2.2605373566209046</v>
      </c>
      <c r="D153">
        <f t="shared" si="19"/>
        <v>2.6202653831051173</v>
      </c>
      <c r="E153">
        <f t="shared" si="20"/>
        <v>0.24232520740362776</v>
      </c>
      <c r="F153">
        <f t="shared" si="21"/>
        <v>-0.49226538310511714</v>
      </c>
      <c r="G153">
        <f t="shared" si="23"/>
        <v>4.5801255217241231E-2</v>
      </c>
      <c r="H153">
        <f t="shared" si="24"/>
        <v>2.6660666383223584</v>
      </c>
      <c r="I153">
        <f t="shared" si="25"/>
        <v>-0.53806663832235824</v>
      </c>
      <c r="J153">
        <f t="shared" si="26"/>
        <v>0.53806663832235824</v>
      </c>
    </row>
    <row r="154" spans="1:10" x14ac:dyDescent="0.25">
      <c r="A154">
        <v>1.131</v>
      </c>
      <c r="B154">
        <f t="shared" si="22"/>
        <v>149</v>
      </c>
      <c r="C154">
        <f t="shared" si="18"/>
        <v>-2.2779616940253349</v>
      </c>
      <c r="D154">
        <f t="shared" si="19"/>
        <v>2.602841045700687</v>
      </c>
      <c r="E154">
        <f t="shared" si="20"/>
        <v>2.1663160638092918</v>
      </c>
      <c r="F154">
        <f t="shared" si="21"/>
        <v>-1.471841045700687</v>
      </c>
      <c r="G154">
        <f t="shared" si="23"/>
        <v>-9.9043795080749564E-2</v>
      </c>
      <c r="H154">
        <f t="shared" si="24"/>
        <v>2.5037972506199373</v>
      </c>
      <c r="I154">
        <f t="shared" si="25"/>
        <v>-1.3727972506199373</v>
      </c>
      <c r="J154">
        <f t="shared" si="26"/>
        <v>1.3727972506199373</v>
      </c>
    </row>
    <row r="155" spans="1:10" x14ac:dyDescent="0.25">
      <c r="A155">
        <v>3.141</v>
      </c>
      <c r="B155">
        <f t="shared" si="22"/>
        <v>150</v>
      </c>
      <c r="C155">
        <f t="shared" si="18"/>
        <v>-2.2947110222173857</v>
      </c>
      <c r="D155">
        <f t="shared" si="19"/>
        <v>2.5860917175086362</v>
      </c>
      <c r="E155">
        <f t="shared" si="20"/>
        <v>0.30792320197751522</v>
      </c>
      <c r="F155">
        <f t="shared" si="21"/>
        <v>0.55490828249136381</v>
      </c>
      <c r="G155">
        <f t="shared" si="23"/>
        <v>-0.29613441839497823</v>
      </c>
      <c r="H155">
        <f t="shared" si="24"/>
        <v>2.2899572991136581</v>
      </c>
      <c r="I155">
        <f t="shared" si="25"/>
        <v>0.85104270088634193</v>
      </c>
      <c r="J155">
        <f t="shared" si="26"/>
        <v>0.85104270088634193</v>
      </c>
    </row>
    <row r="156" spans="1:10" x14ac:dyDescent="0.25">
      <c r="A156">
        <v>2.1179999999999999</v>
      </c>
      <c r="B156">
        <f t="shared" si="22"/>
        <v>151</v>
      </c>
      <c r="C156">
        <f t="shared" si="18"/>
        <v>-2.3107803780096337</v>
      </c>
      <c r="D156">
        <f t="shared" si="19"/>
        <v>2.5700223617163882</v>
      </c>
      <c r="E156">
        <f t="shared" si="20"/>
        <v>0.20432421549166141</v>
      </c>
      <c r="F156">
        <f t="shared" si="21"/>
        <v>-0.45202236171638832</v>
      </c>
      <c r="G156">
        <f t="shared" si="23"/>
        <v>0.11164754643726239</v>
      </c>
      <c r="H156">
        <f t="shared" si="24"/>
        <v>2.6816699081536508</v>
      </c>
      <c r="I156">
        <f t="shared" si="25"/>
        <v>-0.56366990815365092</v>
      </c>
      <c r="J156">
        <f t="shared" si="26"/>
        <v>0.56366990815365092</v>
      </c>
    </row>
    <row r="157" spans="1:10" x14ac:dyDescent="0.25">
      <c r="A157">
        <v>1.7889999999999999</v>
      </c>
      <c r="B157">
        <f t="shared" si="22"/>
        <v>152</v>
      </c>
      <c r="C157">
        <f t="shared" si="18"/>
        <v>-2.3261649997051519</v>
      </c>
      <c r="D157">
        <f t="shared" si="19"/>
        <v>2.55463774002087</v>
      </c>
      <c r="E157">
        <f t="shared" si="20"/>
        <v>0.58620114894426534</v>
      </c>
      <c r="F157">
        <f t="shared" si="21"/>
        <v>-0.76563774002087004</v>
      </c>
      <c r="G157">
        <f t="shared" si="23"/>
        <v>-9.0946899177337323E-2</v>
      </c>
      <c r="H157">
        <f t="shared" si="24"/>
        <v>2.4636908408435327</v>
      </c>
      <c r="I157">
        <f t="shared" si="25"/>
        <v>-0.67469084084353281</v>
      </c>
      <c r="J157">
        <f t="shared" si="26"/>
        <v>0.67469084084353281</v>
      </c>
    </row>
    <row r="158" spans="1:10" x14ac:dyDescent="0.25">
      <c r="A158">
        <v>2.84</v>
      </c>
      <c r="B158">
        <f t="shared" si="22"/>
        <v>153</v>
      </c>
      <c r="C158">
        <f t="shared" si="18"/>
        <v>-2.3408603285085055</v>
      </c>
      <c r="D158">
        <f t="shared" si="19"/>
        <v>2.5399424112175164</v>
      </c>
      <c r="E158">
        <f t="shared" si="20"/>
        <v>9.0034556585957937E-2</v>
      </c>
      <c r="F158">
        <f t="shared" si="21"/>
        <v>0.30005758878248345</v>
      </c>
      <c r="G158">
        <f t="shared" si="23"/>
        <v>-0.15404631329219903</v>
      </c>
      <c r="H158">
        <f t="shared" si="24"/>
        <v>2.3858960979253174</v>
      </c>
      <c r="I158">
        <f t="shared" si="25"/>
        <v>0.45410390207468243</v>
      </c>
      <c r="J158">
        <f t="shared" si="26"/>
        <v>0.45410390207468243</v>
      </c>
    </row>
    <row r="159" spans="1:10" x14ac:dyDescent="0.25">
      <c r="A159">
        <v>2.952</v>
      </c>
      <c r="B159">
        <f t="shared" si="22"/>
        <v>154</v>
      </c>
      <c r="C159">
        <f t="shared" si="18"/>
        <v>-2.354862009876618</v>
      </c>
      <c r="D159">
        <f t="shared" si="19"/>
        <v>2.5259407298494039</v>
      </c>
      <c r="E159">
        <f t="shared" si="20"/>
        <v>0.18152650168125861</v>
      </c>
      <c r="F159">
        <f t="shared" si="21"/>
        <v>0.42605927015059608</v>
      </c>
      <c r="G159">
        <f t="shared" si="23"/>
        <v>6.0371586863035669E-2</v>
      </c>
      <c r="H159">
        <f t="shared" si="24"/>
        <v>2.5863123167124393</v>
      </c>
      <c r="I159">
        <f t="shared" si="25"/>
        <v>0.36568768328756063</v>
      </c>
      <c r="J159">
        <f t="shared" si="26"/>
        <v>0.36568768328756063</v>
      </c>
    </row>
    <row r="160" spans="1:10" x14ac:dyDescent="0.25">
      <c r="A160">
        <v>3.02</v>
      </c>
      <c r="B160">
        <f t="shared" si="22"/>
        <v>155</v>
      </c>
      <c r="C160">
        <f t="shared" si="18"/>
        <v>-2.36816589480912</v>
      </c>
      <c r="D160">
        <f t="shared" si="19"/>
        <v>2.5126368449169019</v>
      </c>
      <c r="E160">
        <f t="shared" si="20"/>
        <v>0.25741737113587593</v>
      </c>
      <c r="F160">
        <f t="shared" si="21"/>
        <v>0.50736315508309815</v>
      </c>
      <c r="G160">
        <f t="shared" si="23"/>
        <v>8.5723125154299931E-2</v>
      </c>
      <c r="H160">
        <f t="shared" si="24"/>
        <v>2.5983599700712019</v>
      </c>
      <c r="I160">
        <f t="shared" si="25"/>
        <v>0.42164002992879812</v>
      </c>
      <c r="J160">
        <f t="shared" si="26"/>
        <v>0.42164002992879812</v>
      </c>
    </row>
    <row r="161" spans="1:10" x14ac:dyDescent="0.25">
      <c r="A161">
        <v>3.1160000000000001</v>
      </c>
      <c r="B161">
        <f t="shared" si="22"/>
        <v>156</v>
      </c>
      <c r="C161">
        <f t="shared" si="18"/>
        <v>-2.3807680410777845</v>
      </c>
      <c r="D161">
        <f t="shared" si="19"/>
        <v>2.5000346986482374</v>
      </c>
      <c r="E161">
        <f t="shared" si="20"/>
        <v>0.37941325246936791</v>
      </c>
      <c r="F161">
        <f t="shared" si="21"/>
        <v>0.61596530135176275</v>
      </c>
      <c r="G161">
        <f t="shared" si="23"/>
        <v>0.10208146680271935</v>
      </c>
      <c r="H161">
        <f t="shared" si="24"/>
        <v>2.6021161654509566</v>
      </c>
      <c r="I161">
        <f t="shared" si="25"/>
        <v>0.51388383454904352</v>
      </c>
      <c r="J161">
        <f t="shared" si="26"/>
        <v>0.51388383454904352</v>
      </c>
    </row>
    <row r="162" spans="1:10" x14ac:dyDescent="0.25">
      <c r="A162">
        <v>3.04</v>
      </c>
      <c r="B162">
        <f t="shared" si="22"/>
        <v>157</v>
      </c>
      <c r="C162">
        <f t="shared" si="18"/>
        <v>-2.3926647143946944</v>
      </c>
      <c r="D162">
        <f t="shared" si="19"/>
        <v>2.4881380253313274</v>
      </c>
      <c r="E162">
        <f t="shared" si="20"/>
        <v>0.30455163908520666</v>
      </c>
      <c r="F162">
        <f t="shared" si="21"/>
        <v>0.55186197466867259</v>
      </c>
      <c r="G162">
        <f t="shared" si="23"/>
        <v>0.12393221863197466</v>
      </c>
      <c r="H162">
        <f t="shared" si="24"/>
        <v>2.6120702439633021</v>
      </c>
      <c r="I162">
        <f t="shared" si="25"/>
        <v>0.42792975603669792</v>
      </c>
      <c r="J162">
        <f t="shared" si="26"/>
        <v>0.42792975603669792</v>
      </c>
    </row>
    <row r="163" spans="1:10" x14ac:dyDescent="0.25">
      <c r="A163">
        <v>3.0979999999999999</v>
      </c>
      <c r="B163">
        <f t="shared" si="22"/>
        <v>158</v>
      </c>
      <c r="C163">
        <f t="shared" si="18"/>
        <v>-2.403852389518796</v>
      </c>
      <c r="D163">
        <f t="shared" si="19"/>
        <v>2.4769503502072259</v>
      </c>
      <c r="E163">
        <f t="shared" si="20"/>
        <v>0.38570266750772725</v>
      </c>
      <c r="F163">
        <f t="shared" si="21"/>
        <v>0.62104964979277399</v>
      </c>
      <c r="G163">
        <f t="shared" si="23"/>
        <v>0.11103462930333692</v>
      </c>
      <c r="H163">
        <f t="shared" si="24"/>
        <v>2.5879849795105629</v>
      </c>
      <c r="I163">
        <f t="shared" si="25"/>
        <v>0.51001502048943692</v>
      </c>
      <c r="J163">
        <f t="shared" si="26"/>
        <v>0.51001502048943692</v>
      </c>
    </row>
    <row r="164" spans="1:10" x14ac:dyDescent="0.25">
      <c r="A164">
        <v>2.7210000000000001</v>
      </c>
      <c r="B164">
        <f t="shared" si="22"/>
        <v>159</v>
      </c>
      <c r="C164">
        <f t="shared" si="18"/>
        <v>-2.4143277513004988</v>
      </c>
      <c r="D164">
        <f t="shared" si="19"/>
        <v>2.466474988425523</v>
      </c>
      <c r="E164">
        <f t="shared" si="20"/>
        <v>6.4782981516987678E-2</v>
      </c>
      <c r="F164">
        <f t="shared" si="21"/>
        <v>0.25452501157447704</v>
      </c>
      <c r="G164">
        <f t="shared" si="23"/>
        <v>0.12495518953830612</v>
      </c>
      <c r="H164">
        <f t="shared" si="24"/>
        <v>2.5914301779638294</v>
      </c>
      <c r="I164">
        <f t="shared" si="25"/>
        <v>0.12956982203617073</v>
      </c>
      <c r="J164">
        <f t="shared" si="26"/>
        <v>0.12956982203617073</v>
      </c>
    </row>
    <row r="165" spans="1:10" x14ac:dyDescent="0.25">
      <c r="A165">
        <v>1.111</v>
      </c>
      <c r="B165">
        <f t="shared" si="22"/>
        <v>160</v>
      </c>
      <c r="C165">
        <f t="shared" si="18"/>
        <v>-2.4240876956640318</v>
      </c>
      <c r="D165">
        <f t="shared" si="19"/>
        <v>2.45671504406199</v>
      </c>
      <c r="E165">
        <f t="shared" si="20"/>
        <v>1.8109489798147638</v>
      </c>
      <c r="F165">
        <f t="shared" si="21"/>
        <v>-1.3457150440619901</v>
      </c>
      <c r="G165">
        <f t="shared" si="23"/>
        <v>5.1210432328784777E-2</v>
      </c>
      <c r="H165">
        <f t="shared" si="24"/>
        <v>2.507925476390775</v>
      </c>
      <c r="I165">
        <f t="shared" si="25"/>
        <v>-1.396925476390775</v>
      </c>
      <c r="J165">
        <f t="shared" si="26"/>
        <v>1.396925476390775</v>
      </c>
    </row>
    <row r="166" spans="1:10" x14ac:dyDescent="0.25">
      <c r="A166">
        <v>2.911</v>
      </c>
      <c r="B166">
        <f t="shared" si="22"/>
        <v>161</v>
      </c>
      <c r="C166">
        <f t="shared" si="18"/>
        <v>-2.4331293305272417</v>
      </c>
      <c r="D166">
        <f t="shared" si="19"/>
        <v>2.4476734091987802</v>
      </c>
      <c r="E166">
        <f t="shared" si="20"/>
        <v>0.21467152974348103</v>
      </c>
      <c r="F166">
        <f t="shared" si="21"/>
        <v>0.46332659080121985</v>
      </c>
      <c r="G166">
        <f t="shared" si="23"/>
        <v>-0.27075786686527237</v>
      </c>
      <c r="H166">
        <f t="shared" si="24"/>
        <v>2.176915542333508</v>
      </c>
      <c r="I166">
        <f t="shared" si="25"/>
        <v>0.734084457666492</v>
      </c>
      <c r="J166">
        <f t="shared" si="26"/>
        <v>0.734084457666492</v>
      </c>
    </row>
    <row r="167" spans="1:10" x14ac:dyDescent="0.25">
      <c r="A167">
        <v>2.7749999999999999</v>
      </c>
      <c r="B167">
        <f t="shared" si="22"/>
        <v>162</v>
      </c>
      <c r="C167">
        <f t="shared" si="18"/>
        <v>-2.4414499766585851</v>
      </c>
      <c r="D167">
        <f t="shared" si="19"/>
        <v>2.4393527630674368</v>
      </c>
      <c r="E167">
        <f t="shared" si="20"/>
        <v>0.11265906766046418</v>
      </c>
      <c r="F167">
        <f t="shared" si="21"/>
        <v>0.33564723693256315</v>
      </c>
      <c r="G167">
        <f t="shared" si="23"/>
        <v>9.3221310069205435E-2</v>
      </c>
      <c r="H167">
        <f t="shared" si="24"/>
        <v>2.5325740731366424</v>
      </c>
      <c r="I167">
        <f t="shared" si="25"/>
        <v>0.24242592686335751</v>
      </c>
      <c r="J167">
        <f t="shared" si="26"/>
        <v>0.24242592686335751</v>
      </c>
    </row>
    <row r="168" spans="1:10" x14ac:dyDescent="0.25">
      <c r="A168">
        <v>2.536</v>
      </c>
      <c r="B168">
        <f t="shared" si="22"/>
        <v>163</v>
      </c>
      <c r="C168">
        <f t="shared" si="18"/>
        <v>-2.4490471684710382</v>
      </c>
      <c r="D168">
        <f t="shared" si="19"/>
        <v>2.4317555712549836</v>
      </c>
      <c r="E168">
        <f t="shared" si="20"/>
        <v>1.0866900924374798E-2</v>
      </c>
      <c r="F168">
        <f t="shared" si="21"/>
        <v>0.10424442874501638</v>
      </c>
      <c r="G168">
        <f t="shared" si="23"/>
        <v>6.7532224070831703E-2</v>
      </c>
      <c r="H168">
        <f t="shared" si="24"/>
        <v>2.4992877953258152</v>
      </c>
      <c r="I168">
        <f t="shared" si="25"/>
        <v>3.671220467418479E-2</v>
      </c>
      <c r="J168">
        <f t="shared" si="26"/>
        <v>3.671220467418479E-2</v>
      </c>
    </row>
    <row r="169" spans="1:10" x14ac:dyDescent="0.25">
      <c r="A169">
        <v>1.992</v>
      </c>
      <c r="B169">
        <f t="shared" si="22"/>
        <v>164</v>
      </c>
      <c r="C169">
        <f t="shared" si="18"/>
        <v>-2.4559186547527072</v>
      </c>
      <c r="D169">
        <f t="shared" si="19"/>
        <v>2.4248840849733146</v>
      </c>
      <c r="E169">
        <f t="shared" si="20"/>
        <v>0.1873886310231839</v>
      </c>
      <c r="F169">
        <f t="shared" si="21"/>
        <v>-0.43288408497331465</v>
      </c>
      <c r="G169">
        <f t="shared" si="23"/>
        <v>2.0973979063497294E-2</v>
      </c>
      <c r="H169">
        <f t="shared" si="24"/>
        <v>2.4458580640368117</v>
      </c>
      <c r="I169">
        <f t="shared" si="25"/>
        <v>-0.45385806403681173</v>
      </c>
      <c r="J169">
        <f t="shared" si="26"/>
        <v>0.45385806403681173</v>
      </c>
    </row>
    <row r="170" spans="1:10" x14ac:dyDescent="0.25">
      <c r="A170">
        <v>2.3319999999999999</v>
      </c>
      <c r="B170">
        <f t="shared" si="22"/>
        <v>165</v>
      </c>
      <c r="C170">
        <f t="shared" si="18"/>
        <v>-2.4620623993339072</v>
      </c>
      <c r="D170">
        <f t="shared" si="19"/>
        <v>2.4187403403921146</v>
      </c>
      <c r="E170">
        <f t="shared" si="20"/>
        <v>7.5238866513399347E-3</v>
      </c>
      <c r="F170">
        <f t="shared" si="21"/>
        <v>-8.6740340392114756E-2</v>
      </c>
      <c r="G170">
        <f t="shared" si="23"/>
        <v>-8.7096277896630908E-2</v>
      </c>
      <c r="H170">
        <f t="shared" si="24"/>
        <v>2.3316440624954837</v>
      </c>
      <c r="I170">
        <f t="shared" si="25"/>
        <v>3.5593750451612394E-4</v>
      </c>
      <c r="J170">
        <f t="shared" si="26"/>
        <v>3.5593750451612394E-4</v>
      </c>
    </row>
    <row r="171" spans="1:10" x14ac:dyDescent="0.25">
      <c r="A171">
        <v>2.8879999999999999</v>
      </c>
      <c r="B171">
        <f t="shared" si="22"/>
        <v>166</v>
      </c>
      <c r="C171">
        <f t="shared" si="18"/>
        <v>-2.4674765816905264</v>
      </c>
      <c r="D171">
        <f t="shared" si="19"/>
        <v>2.4133261580354954</v>
      </c>
      <c r="E171">
        <f t="shared" si="20"/>
        <v>0.22531525624534335</v>
      </c>
      <c r="F171">
        <f t="shared" si="21"/>
        <v>0.47467384196450446</v>
      </c>
      <c r="G171">
        <f t="shared" si="23"/>
        <v>-1.7452156486893487E-2</v>
      </c>
      <c r="H171">
        <f t="shared" si="24"/>
        <v>2.3958740015486018</v>
      </c>
      <c r="I171">
        <f t="shared" si="25"/>
        <v>0.49212599845139815</v>
      </c>
      <c r="J171">
        <f t="shared" si="26"/>
        <v>0.49212599845139815</v>
      </c>
    </row>
    <row r="172" spans="1:10" x14ac:dyDescent="0.25">
      <c r="A172">
        <v>2.802</v>
      </c>
      <c r="B172">
        <f t="shared" si="22"/>
        <v>167</v>
      </c>
      <c r="C172">
        <f t="shared" si="18"/>
        <v>-2.472159597483484</v>
      </c>
      <c r="D172">
        <f t="shared" si="19"/>
        <v>2.4086431422425378</v>
      </c>
      <c r="E172">
        <f t="shared" si="20"/>
        <v>0.15472961754482437</v>
      </c>
      <c r="F172">
        <f t="shared" si="21"/>
        <v>0.39335685775746221</v>
      </c>
      <c r="G172">
        <f t="shared" si="23"/>
        <v>9.5504377003258298E-2</v>
      </c>
      <c r="H172">
        <f t="shared" si="24"/>
        <v>2.5041475192457963</v>
      </c>
      <c r="I172">
        <f t="shared" si="25"/>
        <v>0.29785248075420379</v>
      </c>
      <c r="J172">
        <f t="shared" si="26"/>
        <v>0.29785248075420379</v>
      </c>
    </row>
    <row r="173" spans="1:10" x14ac:dyDescent="0.25">
      <c r="A173">
        <v>2.496</v>
      </c>
      <c r="B173">
        <f t="shared" si="22"/>
        <v>168</v>
      </c>
      <c r="C173">
        <f t="shared" si="18"/>
        <v>-2.4761100590341338</v>
      </c>
      <c r="D173">
        <f t="shared" si="19"/>
        <v>2.404692680691888</v>
      </c>
      <c r="E173">
        <f t="shared" si="20"/>
        <v>8.337026559233518E-3</v>
      </c>
      <c r="F173">
        <f t="shared" si="21"/>
        <v>9.1307319308111978E-2</v>
      </c>
      <c r="G173">
        <f t="shared" si="23"/>
        <v>7.9143399780801399E-2</v>
      </c>
      <c r="H173">
        <f t="shared" si="24"/>
        <v>2.4838360804726896</v>
      </c>
      <c r="I173">
        <f t="shared" si="25"/>
        <v>1.2163919527310441E-2</v>
      </c>
      <c r="J173">
        <f t="shared" si="26"/>
        <v>1.2163919527310441E-2</v>
      </c>
    </row>
    <row r="174" spans="1:10" x14ac:dyDescent="0.25">
      <c r="A174">
        <v>2.3359999999999999</v>
      </c>
      <c r="B174">
        <f t="shared" si="22"/>
        <v>169</v>
      </c>
      <c r="C174">
        <f t="shared" si="18"/>
        <v>-2.4793267957354597</v>
      </c>
      <c r="D174">
        <f t="shared" si="19"/>
        <v>2.4014759439905622</v>
      </c>
      <c r="E174">
        <f t="shared" si="20"/>
        <v>4.2870992414552559E-3</v>
      </c>
      <c r="F174">
        <f t="shared" si="21"/>
        <v>-6.5475943990562335E-2</v>
      </c>
      <c r="G174">
        <f t="shared" si="23"/>
        <v>1.8371032644792128E-2</v>
      </c>
      <c r="H174">
        <f t="shared" si="24"/>
        <v>2.4198469766353545</v>
      </c>
      <c r="I174">
        <f t="shared" si="25"/>
        <v>-8.3846976635354675E-2</v>
      </c>
      <c r="J174">
        <f t="shared" si="26"/>
        <v>8.3846976635354675E-2</v>
      </c>
    </row>
    <row r="175" spans="1:10" x14ac:dyDescent="0.25">
      <c r="A175">
        <v>2.3839999999999999</v>
      </c>
      <c r="B175">
        <f t="shared" si="22"/>
        <v>170</v>
      </c>
      <c r="C175">
        <f t="shared" si="18"/>
        <v>-2.4818088543989547</v>
      </c>
      <c r="D175">
        <f t="shared" si="19"/>
        <v>2.3989938853270671</v>
      </c>
      <c r="E175">
        <f t="shared" si="20"/>
        <v>2.2481659720124248E-4</v>
      </c>
      <c r="F175">
        <f t="shared" si="21"/>
        <v>-1.4993885327067247E-2</v>
      </c>
      <c r="G175">
        <f t="shared" si="23"/>
        <v>-1.3173759930901141E-2</v>
      </c>
      <c r="H175">
        <f t="shared" si="24"/>
        <v>2.3858201253961662</v>
      </c>
      <c r="I175">
        <f t="shared" si="25"/>
        <v>-1.8201253961662722E-3</v>
      </c>
      <c r="J175">
        <f t="shared" si="26"/>
        <v>1.8201253961662722E-3</v>
      </c>
    </row>
    <row r="176" spans="1:10" x14ac:dyDescent="0.25">
      <c r="A176">
        <v>2.8479999999999999</v>
      </c>
      <c r="B176">
        <f t="shared" si="22"/>
        <v>171</v>
      </c>
      <c r="C176">
        <f t="shared" si="18"/>
        <v>-2.4835554995370694</v>
      </c>
      <c r="D176">
        <f t="shared" si="19"/>
        <v>2.3972472401889524</v>
      </c>
      <c r="E176">
        <f t="shared" si="20"/>
        <v>0.20317805047727583</v>
      </c>
      <c r="F176">
        <f t="shared" si="21"/>
        <v>0.45075275981104745</v>
      </c>
      <c r="G176">
        <f t="shared" si="23"/>
        <v>-3.01676972780593E-3</v>
      </c>
      <c r="H176">
        <f t="shared" si="24"/>
        <v>2.3942304704611463</v>
      </c>
      <c r="I176">
        <f t="shared" si="25"/>
        <v>0.45376952953885352</v>
      </c>
      <c r="J176">
        <f t="shared" si="26"/>
        <v>0.45376952953885352</v>
      </c>
    </row>
    <row r="177" spans="1:10" x14ac:dyDescent="0.25">
      <c r="A177">
        <v>2.72</v>
      </c>
      <c r="B177">
        <f t="shared" si="22"/>
        <v>172</v>
      </c>
      <c r="C177">
        <f t="shared" si="18"/>
        <v>-2.4845662135811541</v>
      </c>
      <c r="D177">
        <f t="shared" si="19"/>
        <v>2.3962365261448677</v>
      </c>
      <c r="E177">
        <f t="shared" si="20"/>
        <v>0.10482278700274306</v>
      </c>
      <c r="F177">
        <f t="shared" si="21"/>
        <v>0.32376347385513249</v>
      </c>
      <c r="G177">
        <f t="shared" si="23"/>
        <v>9.0691455273982743E-2</v>
      </c>
      <c r="H177">
        <f t="shared" si="24"/>
        <v>2.4869279814188503</v>
      </c>
      <c r="I177">
        <f t="shared" si="25"/>
        <v>0.2330720185811499</v>
      </c>
      <c r="J177">
        <f t="shared" si="26"/>
        <v>0.2330720185811499</v>
      </c>
    </row>
    <row r="178" spans="1:10" x14ac:dyDescent="0.25">
      <c r="A178">
        <v>2.802</v>
      </c>
      <c r="B178">
        <f t="shared" si="22"/>
        <v>173</v>
      </c>
      <c r="C178">
        <f t="shared" si="18"/>
        <v>-2.4848406970348242</v>
      </c>
      <c r="D178">
        <f t="shared" si="19"/>
        <v>2.3959620426911976</v>
      </c>
      <c r="E178">
        <f t="shared" si="20"/>
        <v>0.16486682277550488</v>
      </c>
      <c r="F178">
        <f t="shared" si="21"/>
        <v>0.40603795730880243</v>
      </c>
      <c r="G178">
        <f t="shared" si="23"/>
        <v>6.5141210939652652E-2</v>
      </c>
      <c r="H178">
        <f t="shared" si="24"/>
        <v>2.4611032536308501</v>
      </c>
      <c r="I178">
        <f t="shared" si="25"/>
        <v>0.34089674636914991</v>
      </c>
      <c r="J178">
        <f t="shared" si="26"/>
        <v>0.34089674636914991</v>
      </c>
    </row>
    <row r="179" spans="1:10" x14ac:dyDescent="0.25">
      <c r="A179">
        <v>2.044</v>
      </c>
      <c r="B179">
        <f t="shared" si="22"/>
        <v>174</v>
      </c>
      <c r="C179">
        <f t="shared" si="18"/>
        <v>-2.484378868562708</v>
      </c>
      <c r="D179">
        <f t="shared" si="19"/>
        <v>2.3964238711633139</v>
      </c>
      <c r="E179">
        <f t="shared" si="20"/>
        <v>0.12420258496573605</v>
      </c>
      <c r="F179">
        <f t="shared" si="21"/>
        <v>-0.35242387116331386</v>
      </c>
      <c r="G179">
        <f t="shared" si="23"/>
        <v>8.1694837010531041E-2</v>
      </c>
      <c r="H179">
        <f t="shared" si="24"/>
        <v>2.4781187081738452</v>
      </c>
      <c r="I179">
        <f t="shared" si="25"/>
        <v>-0.43411870817384512</v>
      </c>
      <c r="J179">
        <f t="shared" si="26"/>
        <v>0.43411870817384512</v>
      </c>
    </row>
    <row r="180" spans="1:10" x14ac:dyDescent="0.25">
      <c r="A180">
        <v>1.79</v>
      </c>
      <c r="B180">
        <f t="shared" si="22"/>
        <v>175</v>
      </c>
      <c r="C180">
        <f t="shared" si="18"/>
        <v>-2.4831808650145493</v>
      </c>
      <c r="D180">
        <f t="shared" si="19"/>
        <v>2.3976218747114726</v>
      </c>
      <c r="E180">
        <f t="shared" si="20"/>
        <v>0.36920434262788443</v>
      </c>
      <c r="F180">
        <f t="shared" si="21"/>
        <v>-0.60762187471147255</v>
      </c>
      <c r="G180">
        <f t="shared" si="23"/>
        <v>-7.090768287805875E-2</v>
      </c>
      <c r="H180">
        <f t="shared" si="24"/>
        <v>2.326714191833414</v>
      </c>
      <c r="I180">
        <f t="shared" si="25"/>
        <v>-0.53671419183341396</v>
      </c>
      <c r="J180">
        <f t="shared" si="26"/>
        <v>0.53671419183341396</v>
      </c>
    </row>
    <row r="181" spans="1:10" x14ac:dyDescent="0.25">
      <c r="A181">
        <v>1.8480000000000001</v>
      </c>
      <c r="B181">
        <f t="shared" si="22"/>
        <v>176</v>
      </c>
      <c r="C181">
        <f t="shared" si="18"/>
        <v>-2.4812470413846555</v>
      </c>
      <c r="D181">
        <f t="shared" si="19"/>
        <v>2.3995556983413664</v>
      </c>
      <c r="E181">
        <f t="shared" si="20"/>
        <v>0.30421368837283225</v>
      </c>
      <c r="F181">
        <f t="shared" si="21"/>
        <v>-0.55155569834136631</v>
      </c>
      <c r="G181">
        <f t="shared" si="23"/>
        <v>-0.12225352119194827</v>
      </c>
      <c r="H181">
        <f t="shared" si="24"/>
        <v>2.277302177149418</v>
      </c>
      <c r="I181">
        <f t="shared" si="25"/>
        <v>-0.42930217714941787</v>
      </c>
      <c r="J181">
        <f t="shared" si="26"/>
        <v>0.42930217714941787</v>
      </c>
    </row>
    <row r="182" spans="1:10" x14ac:dyDescent="0.25">
      <c r="A182">
        <v>2.8959999999999999</v>
      </c>
      <c r="B182">
        <f t="shared" si="22"/>
        <v>177</v>
      </c>
      <c r="C182">
        <f t="shared" si="18"/>
        <v>-2.4785779707067017</v>
      </c>
      <c r="D182">
        <f t="shared" si="19"/>
        <v>2.4022247690193201</v>
      </c>
      <c r="E182">
        <f t="shared" si="20"/>
        <v>0.24381397873002367</v>
      </c>
      <c r="F182">
        <f t="shared" si="21"/>
        <v>0.49377523098067977</v>
      </c>
      <c r="G182">
        <f t="shared" si="23"/>
        <v>-0.11097300650628289</v>
      </c>
      <c r="H182">
        <f t="shared" si="24"/>
        <v>2.2912517625130371</v>
      </c>
      <c r="I182">
        <f t="shared" si="25"/>
        <v>0.60474823748696283</v>
      </c>
      <c r="J182">
        <f t="shared" si="26"/>
        <v>0.60474823748696283</v>
      </c>
    </row>
    <row r="183" spans="1:10" x14ac:dyDescent="0.25">
      <c r="A183">
        <v>2.9540000000000002</v>
      </c>
      <c r="B183">
        <f t="shared" si="22"/>
        <v>178</v>
      </c>
      <c r="C183">
        <f t="shared" si="18"/>
        <v>-2.475174443883934</v>
      </c>
      <c r="D183">
        <f t="shared" si="19"/>
        <v>2.4056282958420878</v>
      </c>
      <c r="E183">
        <f t="shared" si="20"/>
        <v>0.30071152592105294</v>
      </c>
      <c r="F183">
        <f t="shared" si="21"/>
        <v>0.54837170415791237</v>
      </c>
      <c r="G183">
        <f t="shared" si="23"/>
        <v>9.9347576473312771E-2</v>
      </c>
      <c r="H183">
        <f t="shared" si="24"/>
        <v>2.5049758723154008</v>
      </c>
      <c r="I183">
        <f t="shared" si="25"/>
        <v>0.44902412768459943</v>
      </c>
      <c r="J183">
        <f t="shared" si="26"/>
        <v>0.44902412768459943</v>
      </c>
    </row>
    <row r="184" spans="1:10" x14ac:dyDescent="0.25">
      <c r="A184">
        <v>3.016</v>
      </c>
      <c r="B184">
        <f t="shared" si="22"/>
        <v>179</v>
      </c>
      <c r="C184">
        <f t="shared" si="18"/>
        <v>-2.4710374694548043</v>
      </c>
      <c r="D184">
        <f t="shared" si="19"/>
        <v>2.4097652702712176</v>
      </c>
      <c r="E184">
        <f t="shared" si="20"/>
        <v>0.36752054752932989</v>
      </c>
      <c r="F184">
        <f t="shared" si="21"/>
        <v>0.60623472972878245</v>
      </c>
      <c r="G184">
        <f t="shared" si="23"/>
        <v>0.11033238687657196</v>
      </c>
      <c r="H184">
        <f t="shared" si="24"/>
        <v>2.5200976571477893</v>
      </c>
      <c r="I184">
        <f t="shared" si="25"/>
        <v>0.49590234285221069</v>
      </c>
      <c r="J184">
        <f t="shared" si="26"/>
        <v>0.49590234285221069</v>
      </c>
    </row>
    <row r="185" spans="1:10" x14ac:dyDescent="0.25">
      <c r="A185">
        <v>1.6719999999999999</v>
      </c>
      <c r="B185">
        <f t="shared" si="22"/>
        <v>180</v>
      </c>
      <c r="C185">
        <f t="shared" si="18"/>
        <v>-2.4661682732941181</v>
      </c>
      <c r="D185">
        <f t="shared" si="19"/>
        <v>2.4146344664319037</v>
      </c>
      <c r="E185">
        <f t="shared" si="20"/>
        <v>0.55150595073259845</v>
      </c>
      <c r="F185">
        <f t="shared" si="21"/>
        <v>-0.74263446643190378</v>
      </c>
      <c r="G185">
        <f t="shared" si="23"/>
        <v>0.12197442762143103</v>
      </c>
      <c r="H185">
        <f t="shared" si="24"/>
        <v>2.5366088940533347</v>
      </c>
      <c r="I185">
        <f t="shared" si="25"/>
        <v>-0.86460889405333474</v>
      </c>
      <c r="J185">
        <f t="shared" si="26"/>
        <v>0.86460889405333474</v>
      </c>
    </row>
    <row r="186" spans="1:10" x14ac:dyDescent="0.25">
      <c r="A186">
        <v>1.64</v>
      </c>
      <c r="B186">
        <f t="shared" si="22"/>
        <v>181</v>
      </c>
      <c r="C186">
        <f t="shared" si="18"/>
        <v>-2.4605682982497847</v>
      </c>
      <c r="D186">
        <f t="shared" si="19"/>
        <v>2.4202344414762371</v>
      </c>
      <c r="E186">
        <f t="shared" si="20"/>
        <v>0.60876578366573586</v>
      </c>
      <c r="F186">
        <f t="shared" si="21"/>
        <v>-0.78023444147623722</v>
      </c>
      <c r="G186">
        <f t="shared" si="23"/>
        <v>-0.14941805464609903</v>
      </c>
      <c r="H186">
        <f t="shared" si="24"/>
        <v>2.2708163868301381</v>
      </c>
      <c r="I186">
        <f t="shared" si="25"/>
        <v>-0.63081638683013819</v>
      </c>
      <c r="J186">
        <f t="shared" si="26"/>
        <v>0.63081638683013819</v>
      </c>
    </row>
    <row r="187" spans="1:10" x14ac:dyDescent="0.25">
      <c r="A187">
        <v>2.302</v>
      </c>
      <c r="B187">
        <f t="shared" si="22"/>
        <v>182</v>
      </c>
      <c r="C187">
        <f t="shared" si="18"/>
        <v>-2.4542392037152672</v>
      </c>
      <c r="D187">
        <f t="shared" si="19"/>
        <v>2.4265635360107547</v>
      </c>
      <c r="E187">
        <f t="shared" si="20"/>
        <v>1.5516074503502571E-2</v>
      </c>
      <c r="F187">
        <f t="shared" si="21"/>
        <v>-0.12456353601075465</v>
      </c>
      <c r="G187">
        <f t="shared" si="23"/>
        <v>-0.15698316962501893</v>
      </c>
      <c r="H187">
        <f t="shared" si="24"/>
        <v>2.2695803663857359</v>
      </c>
      <c r="I187">
        <f t="shared" si="25"/>
        <v>3.2419633614264143E-2</v>
      </c>
      <c r="J187">
        <f t="shared" si="26"/>
        <v>3.2419633614264143E-2</v>
      </c>
    </row>
    <row r="188" spans="1:10" x14ac:dyDescent="0.25">
      <c r="A188">
        <v>1.6120000000000001</v>
      </c>
      <c r="B188">
        <f t="shared" si="22"/>
        <v>183</v>
      </c>
      <c r="C188">
        <f t="shared" si="18"/>
        <v>-2.4471828651378682</v>
      </c>
      <c r="D188">
        <f t="shared" si="19"/>
        <v>2.4336198745881537</v>
      </c>
      <c r="E188">
        <f t="shared" si="20"/>
        <v>0.67505921831825322</v>
      </c>
      <c r="F188">
        <f t="shared" si="21"/>
        <v>-0.82161987458815355</v>
      </c>
      <c r="G188">
        <f t="shared" si="23"/>
        <v>-2.5062183445363834E-2</v>
      </c>
      <c r="H188">
        <f t="shared" si="24"/>
        <v>2.4085576911427897</v>
      </c>
      <c r="I188">
        <f t="shared" si="25"/>
        <v>-0.79655769114278963</v>
      </c>
      <c r="J188">
        <f t="shared" si="26"/>
        <v>0.79655769114278963</v>
      </c>
    </row>
    <row r="189" spans="1:10" x14ac:dyDescent="0.25">
      <c r="A189">
        <v>2.3140000000000001</v>
      </c>
      <c r="B189">
        <f t="shared" si="22"/>
        <v>184</v>
      </c>
      <c r="C189">
        <f t="shared" si="18"/>
        <v>-2.4394013734629976</v>
      </c>
      <c r="D189">
        <f t="shared" si="19"/>
        <v>2.4414013662630243</v>
      </c>
      <c r="E189">
        <f t="shared" si="20"/>
        <v>1.6231108125685248E-2</v>
      </c>
      <c r="F189">
        <f t="shared" si="21"/>
        <v>-0.12740136626302423</v>
      </c>
      <c r="G189">
        <f t="shared" si="23"/>
        <v>-0.16530991876713649</v>
      </c>
      <c r="H189">
        <f t="shared" si="24"/>
        <v>2.276091447495888</v>
      </c>
      <c r="I189">
        <f t="shared" si="25"/>
        <v>3.790855250411207E-2</v>
      </c>
      <c r="J189">
        <f t="shared" si="26"/>
        <v>3.790855250411207E-2</v>
      </c>
    </row>
    <row r="190" spans="1:10" x14ac:dyDescent="0.25">
      <c r="A190">
        <v>2.44</v>
      </c>
      <c r="B190">
        <f t="shared" si="22"/>
        <v>185</v>
      </c>
      <c r="C190">
        <f t="shared" si="18"/>
        <v>-2.4308970345145759</v>
      </c>
      <c r="D190">
        <f t="shared" si="19"/>
        <v>2.4499057052114459</v>
      </c>
      <c r="E190">
        <f t="shared" si="20"/>
        <v>9.8122995736067622E-5</v>
      </c>
      <c r="F190">
        <f t="shared" si="21"/>
        <v>-9.9057052114459587E-3</v>
      </c>
      <c r="G190">
        <f t="shared" si="23"/>
        <v>-2.5633154892120473E-2</v>
      </c>
      <c r="H190">
        <f t="shared" si="24"/>
        <v>2.4242725503193254</v>
      </c>
      <c r="I190">
        <f t="shared" si="25"/>
        <v>1.5727449680674521E-2</v>
      </c>
      <c r="J190">
        <f t="shared" si="26"/>
        <v>1.5727449680674521E-2</v>
      </c>
    </row>
    <row r="191" spans="1:10" x14ac:dyDescent="0.25">
      <c r="A191">
        <v>1.732</v>
      </c>
      <c r="B191">
        <f t="shared" si="22"/>
        <v>186</v>
      </c>
      <c r="C191">
        <f t="shared" si="18"/>
        <v>-2.4216723683117731</v>
      </c>
      <c r="D191">
        <f t="shared" si="19"/>
        <v>2.4591303714142487</v>
      </c>
      <c r="E191">
        <f t="shared" si="20"/>
        <v>0.52871857703302327</v>
      </c>
      <c r="F191">
        <f t="shared" si="21"/>
        <v>-0.72713037141424874</v>
      </c>
      <c r="G191">
        <f t="shared" si="23"/>
        <v>-1.9930278885429268E-3</v>
      </c>
      <c r="H191">
        <f t="shared" si="24"/>
        <v>2.457137343525706</v>
      </c>
      <c r="I191">
        <f t="shared" si="25"/>
        <v>-0.72513734352570602</v>
      </c>
      <c r="J191">
        <f t="shared" si="26"/>
        <v>0.72513734352570602</v>
      </c>
    </row>
    <row r="192" spans="1:10" x14ac:dyDescent="0.25">
      <c r="A192">
        <v>2.7480000000000002</v>
      </c>
      <c r="B192">
        <f t="shared" si="22"/>
        <v>187</v>
      </c>
      <c r="C192">
        <f t="shared" si="18"/>
        <v>-2.4117301083222693</v>
      </c>
      <c r="D192">
        <f t="shared" si="19"/>
        <v>2.4690726314037525</v>
      </c>
      <c r="E192">
        <f t="shared" si="20"/>
        <v>7.7800476952027006E-2</v>
      </c>
      <c r="F192">
        <f t="shared" si="21"/>
        <v>0.27892736859624767</v>
      </c>
      <c r="G192">
        <f t="shared" si="23"/>
        <v>-0.14629863072854685</v>
      </c>
      <c r="H192">
        <f t="shared" si="24"/>
        <v>2.3227740006752056</v>
      </c>
      <c r="I192">
        <f t="shared" si="25"/>
        <v>0.42522599932479466</v>
      </c>
      <c r="J192">
        <f t="shared" si="26"/>
        <v>0.42522599932479466</v>
      </c>
    </row>
    <row r="193" spans="1:10" x14ac:dyDescent="0.25">
      <c r="A193">
        <v>3.06</v>
      </c>
      <c r="B193">
        <f t="shared" si="22"/>
        <v>188</v>
      </c>
      <c r="C193">
        <f t="shared" si="18"/>
        <v>-2.401073200652271</v>
      </c>
      <c r="D193">
        <f t="shared" si="19"/>
        <v>2.4797295390737508</v>
      </c>
      <c r="E193">
        <f t="shared" si="20"/>
        <v>0.33671380782356175</v>
      </c>
      <c r="F193">
        <f t="shared" si="21"/>
        <v>0.58027046092624923</v>
      </c>
      <c r="G193">
        <f t="shared" si="23"/>
        <v>5.6120186561565026E-2</v>
      </c>
      <c r="H193">
        <f t="shared" si="24"/>
        <v>2.5358497256353156</v>
      </c>
      <c r="I193">
        <f t="shared" si="25"/>
        <v>0.52415027436468442</v>
      </c>
      <c r="J193">
        <f t="shared" si="26"/>
        <v>0.52415027436468442</v>
      </c>
    </row>
    <row r="194" spans="1:10" x14ac:dyDescent="0.25">
      <c r="A194">
        <v>2.3159999999999998</v>
      </c>
      <c r="B194">
        <f t="shared" si="22"/>
        <v>189</v>
      </c>
      <c r="C194">
        <f t="shared" si="18"/>
        <v>-2.3897048031735157</v>
      </c>
      <c r="D194">
        <f t="shared" si="19"/>
        <v>2.4910979365525061</v>
      </c>
      <c r="E194">
        <f t="shared" si="20"/>
        <v>3.0659287384945513E-2</v>
      </c>
      <c r="F194">
        <f t="shared" si="21"/>
        <v>-0.17509793655250627</v>
      </c>
      <c r="G194">
        <f t="shared" si="23"/>
        <v>0.11675041673836134</v>
      </c>
      <c r="H194">
        <f t="shared" si="24"/>
        <v>2.6078483532908674</v>
      </c>
      <c r="I194">
        <f t="shared" si="25"/>
        <v>-0.29184835329086756</v>
      </c>
      <c r="J194">
        <f t="shared" si="26"/>
        <v>0.29184835329086756</v>
      </c>
    </row>
    <row r="195" spans="1:10" x14ac:dyDescent="0.25">
      <c r="A195">
        <v>1.788</v>
      </c>
      <c r="B195">
        <f t="shared" si="22"/>
        <v>190</v>
      </c>
      <c r="C195">
        <f t="shared" si="18"/>
        <v>-2.3776282845875261</v>
      </c>
      <c r="D195">
        <f t="shared" si="19"/>
        <v>2.5031744551384958</v>
      </c>
      <c r="E195">
        <f t="shared" si="20"/>
        <v>0.51147450128264427</v>
      </c>
      <c r="F195">
        <f t="shared" si="21"/>
        <v>-0.71517445513849576</v>
      </c>
      <c r="G195">
        <f t="shared" si="23"/>
        <v>-3.5229704834364259E-2</v>
      </c>
      <c r="H195">
        <f t="shared" si="24"/>
        <v>2.4679447503041314</v>
      </c>
      <c r="I195">
        <f t="shared" si="25"/>
        <v>-0.67994475030413137</v>
      </c>
      <c r="J195">
        <f t="shared" si="26"/>
        <v>0.67994475030413137</v>
      </c>
    </row>
    <row r="196" spans="1:10" x14ac:dyDescent="0.25">
      <c r="A196">
        <v>2.7080000000000002</v>
      </c>
      <c r="B196">
        <f t="shared" si="22"/>
        <v>191</v>
      </c>
      <c r="C196">
        <f t="shared" si="18"/>
        <v>-2.3648472234273927</v>
      </c>
      <c r="D196">
        <f t="shared" si="19"/>
        <v>2.5159555162986291</v>
      </c>
      <c r="E196">
        <f t="shared" si="20"/>
        <v>3.6881083720126176E-2</v>
      </c>
      <c r="F196">
        <f t="shared" si="21"/>
        <v>0.19204448370137106</v>
      </c>
      <c r="G196">
        <f t="shared" si="23"/>
        <v>-0.14389310037386535</v>
      </c>
      <c r="H196">
        <f t="shared" si="24"/>
        <v>2.3720624159247636</v>
      </c>
      <c r="I196">
        <f t="shared" si="25"/>
        <v>0.33593758407523655</v>
      </c>
      <c r="J196">
        <f t="shared" si="26"/>
        <v>0.33593758407523655</v>
      </c>
    </row>
    <row r="197" spans="1:10" x14ac:dyDescent="0.25">
      <c r="A197">
        <v>2.802</v>
      </c>
      <c r="B197">
        <f t="shared" si="22"/>
        <v>192</v>
      </c>
      <c r="C197">
        <f t="shared" si="18"/>
        <v>-2.3513654069973748</v>
      </c>
      <c r="D197">
        <f t="shared" si="19"/>
        <v>2.529437332728647</v>
      </c>
      <c r="E197">
        <f t="shared" si="20"/>
        <v>7.4290407590074298E-2</v>
      </c>
      <c r="F197">
        <f t="shared" si="21"/>
        <v>0.27256266727135303</v>
      </c>
      <c r="G197">
        <f t="shared" si="23"/>
        <v>3.8639350120715857E-2</v>
      </c>
      <c r="H197">
        <f t="shared" si="24"/>
        <v>2.5680766828493629</v>
      </c>
      <c r="I197">
        <f t="shared" si="25"/>
        <v>0.23392331715063719</v>
      </c>
      <c r="J197">
        <f t="shared" si="26"/>
        <v>0.23392331715063719</v>
      </c>
    </row>
    <row r="198" spans="1:10" x14ac:dyDescent="0.25">
      <c r="A198">
        <v>2.2959999999999998</v>
      </c>
      <c r="B198">
        <f t="shared" si="22"/>
        <v>193</v>
      </c>
      <c r="C198">
        <f t="shared" si="18"/>
        <v>-2.337186830250642</v>
      </c>
      <c r="D198">
        <f t="shared" si="19"/>
        <v>2.5436159094753799</v>
      </c>
      <c r="E198">
        <f t="shared" si="20"/>
        <v>6.1313638625319598E-2</v>
      </c>
      <c r="F198">
        <f t="shared" si="21"/>
        <v>-0.24761590947538004</v>
      </c>
      <c r="G198">
        <f t="shared" si="23"/>
        <v>5.4839608654996229E-2</v>
      </c>
      <c r="H198">
        <f t="shared" si="24"/>
        <v>2.5984555181303759</v>
      </c>
      <c r="I198">
        <f t="shared" si="25"/>
        <v>-0.30245551813037608</v>
      </c>
      <c r="J198">
        <f t="shared" si="26"/>
        <v>0.30245551813037608</v>
      </c>
    </row>
    <row r="199" spans="1:10" x14ac:dyDescent="0.25">
      <c r="A199">
        <v>1.946</v>
      </c>
      <c r="B199">
        <f t="shared" si="22"/>
        <v>194</v>
      </c>
      <c r="C199">
        <f t="shared" ref="C199:C262" si="27">C$2*COS(C$1*B199)+C$3*SIN(C$1*B199)</f>
        <v>-2.3223156946054822</v>
      </c>
      <c r="D199">
        <f t="shared" ref="D199:D262" si="28">$A$2+C199</f>
        <v>2.5584870451205397</v>
      </c>
      <c r="E199">
        <f t="shared" ref="E199:E262" si="29">(A199-D199)^2</f>
        <v>0.37514038044049008</v>
      </c>
      <c r="F199">
        <f t="shared" ref="F199:F262" si="30">A199-D199</f>
        <v>-0.61248704512053975</v>
      </c>
      <c r="G199">
        <f t="shared" si="23"/>
        <v>-4.9820320986446461E-2</v>
      </c>
      <c r="H199">
        <f t="shared" si="24"/>
        <v>2.5086667241340934</v>
      </c>
      <c r="I199">
        <f t="shared" si="25"/>
        <v>-0.56266672413409347</v>
      </c>
      <c r="J199">
        <f t="shared" si="26"/>
        <v>0.56266672413409347</v>
      </c>
    </row>
    <row r="200" spans="1:10" x14ac:dyDescent="0.25">
      <c r="A200">
        <v>2.73</v>
      </c>
      <c r="B200">
        <f t="shared" ref="B200:B263" si="31">B199+1</f>
        <v>195</v>
      </c>
      <c r="C200">
        <f t="shared" si="27"/>
        <v>-2.3067564067003334</v>
      </c>
      <c r="D200">
        <f t="shared" si="28"/>
        <v>2.5740463330256884</v>
      </c>
      <c r="E200">
        <f t="shared" si="29"/>
        <v>2.4321546242734478E-2</v>
      </c>
      <c r="F200">
        <f t="shared" si="30"/>
        <v>0.15595366697431157</v>
      </c>
      <c r="G200">
        <f t="shared" ref="G200:G263" si="32">$H$1*F199</f>
        <v>-0.12323239347825259</v>
      </c>
      <c r="H200">
        <f t="shared" ref="H200:H263" si="33">D200+G200</f>
        <v>2.450813939547436</v>
      </c>
      <c r="I200">
        <f t="shared" ref="I200:I263" si="34">A200-H200</f>
        <v>0.279186060452564</v>
      </c>
      <c r="J200">
        <f t="shared" ref="J200:J263" si="35">ABS(I200)</f>
        <v>0.279186060452564</v>
      </c>
    </row>
    <row r="201" spans="1:10" x14ac:dyDescent="0.25">
      <c r="A201">
        <v>2.73</v>
      </c>
      <c r="B201">
        <f t="shared" si="31"/>
        <v>196</v>
      </c>
      <c r="C201">
        <f t="shared" si="27"/>
        <v>-2.2905135770879994</v>
      </c>
      <c r="D201">
        <f t="shared" si="28"/>
        <v>2.5902891626380224</v>
      </c>
      <c r="E201">
        <f t="shared" si="29"/>
        <v>1.9519118076384939E-2</v>
      </c>
      <c r="F201">
        <f t="shared" si="30"/>
        <v>0.13971083736197754</v>
      </c>
      <c r="G201">
        <f t="shared" si="32"/>
        <v>3.1377877795231483E-2</v>
      </c>
      <c r="H201">
        <f t="shared" si="33"/>
        <v>2.621667040433254</v>
      </c>
      <c r="I201">
        <f t="shared" si="34"/>
        <v>0.10833295956674593</v>
      </c>
      <c r="J201">
        <f t="shared" si="35"/>
        <v>0.10833295956674593</v>
      </c>
    </row>
    <row r="202" spans="1:10" x14ac:dyDescent="0.25">
      <c r="A202">
        <v>1.294</v>
      </c>
      <c r="B202">
        <f t="shared" si="31"/>
        <v>197</v>
      </c>
      <c r="C202">
        <f t="shared" si="27"/>
        <v>-2.2735920188694423</v>
      </c>
      <c r="D202">
        <f t="shared" si="28"/>
        <v>2.6072107208565796</v>
      </c>
      <c r="E202">
        <f t="shared" si="29"/>
        <v>1.7245223973726573</v>
      </c>
      <c r="F202">
        <f t="shared" si="30"/>
        <v>-1.3132107208565795</v>
      </c>
      <c r="G202">
        <f t="shared" si="32"/>
        <v>2.8109820477229878E-2</v>
      </c>
      <c r="H202">
        <f t="shared" si="33"/>
        <v>2.6353205413338094</v>
      </c>
      <c r="I202">
        <f t="shared" si="34"/>
        <v>-1.3413205413338094</v>
      </c>
      <c r="J202">
        <f t="shared" si="35"/>
        <v>1.3413205413338094</v>
      </c>
    </row>
    <row r="203" spans="1:10" x14ac:dyDescent="0.25">
      <c r="A203">
        <v>2.048</v>
      </c>
      <c r="B203">
        <f t="shared" si="31"/>
        <v>198</v>
      </c>
      <c r="C203">
        <f t="shared" si="27"/>
        <v>-2.2559967462675599</v>
      </c>
      <c r="D203">
        <f t="shared" si="28"/>
        <v>2.624805993458462</v>
      </c>
      <c r="E203">
        <f t="shared" si="29"/>
        <v>0.33270515408960327</v>
      </c>
      <c r="F203">
        <f t="shared" si="30"/>
        <v>-0.57680599345846195</v>
      </c>
      <c r="G203">
        <f t="shared" si="32"/>
        <v>-0.2642179970363438</v>
      </c>
      <c r="H203">
        <f t="shared" si="33"/>
        <v>2.3605879964221184</v>
      </c>
      <c r="I203">
        <f t="shared" si="34"/>
        <v>-0.31258799642211832</v>
      </c>
      <c r="J203">
        <f t="shared" si="35"/>
        <v>0.31258799642211832</v>
      </c>
    </row>
    <row r="204" spans="1:10" x14ac:dyDescent="0.25">
      <c r="A204">
        <v>1.968</v>
      </c>
      <c r="B204">
        <f t="shared" si="31"/>
        <v>199</v>
      </c>
      <c r="C204">
        <f t="shared" si="27"/>
        <v>-2.2377329731413607</v>
      </c>
      <c r="D204">
        <f t="shared" si="28"/>
        <v>2.6430697665846612</v>
      </c>
      <c r="E204">
        <f t="shared" si="29"/>
        <v>0.45571918975666897</v>
      </c>
      <c r="F204">
        <f t="shared" si="30"/>
        <v>-0.67506976658466122</v>
      </c>
      <c r="G204">
        <f t="shared" si="32"/>
        <v>-0.11605336588384253</v>
      </c>
      <c r="H204">
        <f t="shared" si="33"/>
        <v>2.5270164007008185</v>
      </c>
      <c r="I204">
        <f t="shared" si="34"/>
        <v>-0.55901640070081848</v>
      </c>
      <c r="J204">
        <f t="shared" si="35"/>
        <v>0.55901640070081848</v>
      </c>
    </row>
    <row r="205" spans="1:10" x14ac:dyDescent="0.25">
      <c r="A205">
        <v>1.9159999999999999</v>
      </c>
      <c r="B205">
        <f t="shared" si="31"/>
        <v>200</v>
      </c>
      <c r="C205">
        <f t="shared" si="27"/>
        <v>-2.2188061114409865</v>
      </c>
      <c r="D205">
        <f t="shared" si="28"/>
        <v>2.6619966282850354</v>
      </c>
      <c r="E205">
        <f t="shared" si="29"/>
        <v>0.55651096941264133</v>
      </c>
      <c r="F205">
        <f t="shared" si="30"/>
        <v>-0.74599662828503543</v>
      </c>
      <c r="G205">
        <f t="shared" si="32"/>
        <v>-0.13582403703683382</v>
      </c>
      <c r="H205">
        <f t="shared" si="33"/>
        <v>2.5261725912482014</v>
      </c>
      <c r="I205">
        <f t="shared" si="34"/>
        <v>-0.61017259124820145</v>
      </c>
      <c r="J205">
        <f t="shared" si="35"/>
        <v>0.61017259124820145</v>
      </c>
    </row>
    <row r="206" spans="1:10" x14ac:dyDescent="0.25">
      <c r="A206">
        <v>3.206</v>
      </c>
      <c r="B206">
        <f t="shared" si="31"/>
        <v>201</v>
      </c>
      <c r="C206">
        <f t="shared" si="27"/>
        <v>-2.1992217696040348</v>
      </c>
      <c r="D206">
        <f t="shared" si="28"/>
        <v>2.681580970121987</v>
      </c>
      <c r="E206">
        <f t="shared" si="29"/>
        <v>0.27501531889819619</v>
      </c>
      <c r="F206">
        <f t="shared" si="30"/>
        <v>0.52441902987801292</v>
      </c>
      <c r="G206">
        <f t="shared" si="32"/>
        <v>-0.15009452161094913</v>
      </c>
      <c r="H206">
        <f t="shared" si="33"/>
        <v>2.5314864485110378</v>
      </c>
      <c r="I206">
        <f t="shared" si="34"/>
        <v>0.67451355148896219</v>
      </c>
      <c r="J206">
        <f t="shared" si="35"/>
        <v>0.67451355148896219</v>
      </c>
    </row>
    <row r="207" spans="1:10" x14ac:dyDescent="0.25">
      <c r="A207">
        <v>2.7280000000000002</v>
      </c>
      <c r="B207">
        <f t="shared" si="31"/>
        <v>202</v>
      </c>
      <c r="C207">
        <f t="shared" si="27"/>
        <v>-2.1789857508936565</v>
      </c>
      <c r="D207">
        <f t="shared" si="28"/>
        <v>2.7018169888323653</v>
      </c>
      <c r="E207">
        <f t="shared" si="29"/>
        <v>6.8555007380449306E-4</v>
      </c>
      <c r="F207">
        <f t="shared" si="30"/>
        <v>2.6183011167634884E-2</v>
      </c>
      <c r="G207">
        <f t="shared" si="32"/>
        <v>0.10551310881145619</v>
      </c>
      <c r="H207">
        <f t="shared" si="33"/>
        <v>2.8073300976438214</v>
      </c>
      <c r="I207">
        <f t="shared" si="34"/>
        <v>-7.9330097643821151E-2</v>
      </c>
      <c r="J207">
        <f t="shared" si="35"/>
        <v>7.9330097643821151E-2</v>
      </c>
    </row>
    <row r="208" spans="1:10" x14ac:dyDescent="0.25">
      <c r="A208">
        <v>2.99</v>
      </c>
      <c r="B208">
        <f t="shared" si="31"/>
        <v>203</v>
      </c>
      <c r="C208">
        <f t="shared" si="27"/>
        <v>-2.1581040516789241</v>
      </c>
      <c r="D208">
        <f t="shared" si="28"/>
        <v>2.7226986880470978</v>
      </c>
      <c r="E208">
        <f t="shared" si="29"/>
        <v>7.1449991371742849E-2</v>
      </c>
      <c r="F208">
        <f t="shared" si="30"/>
        <v>0.26730131195290241</v>
      </c>
      <c r="G208">
        <f t="shared" si="32"/>
        <v>5.2680218469281382E-3</v>
      </c>
      <c r="H208">
        <f t="shared" si="33"/>
        <v>2.7279667098940261</v>
      </c>
      <c r="I208">
        <f t="shared" si="34"/>
        <v>0.26203329010597409</v>
      </c>
      <c r="J208">
        <f t="shared" si="35"/>
        <v>0.26203329010597409</v>
      </c>
    </row>
    <row r="209" spans="1:10" x14ac:dyDescent="0.25">
      <c r="A209">
        <v>3.05</v>
      </c>
      <c r="B209">
        <f t="shared" si="31"/>
        <v>204</v>
      </c>
      <c r="C209">
        <f t="shared" si="27"/>
        <v>-2.1365828596579801</v>
      </c>
      <c r="D209">
        <f t="shared" si="28"/>
        <v>2.7442198800680417</v>
      </c>
      <c r="E209">
        <f t="shared" si="29"/>
        <v>9.3501481745602674E-2</v>
      </c>
      <c r="F209">
        <f t="shared" si="30"/>
        <v>0.30578011993195808</v>
      </c>
      <c r="G209">
        <f t="shared" si="32"/>
        <v>5.3781023964923964E-2</v>
      </c>
      <c r="H209">
        <f t="shared" si="33"/>
        <v>2.7980009040329659</v>
      </c>
      <c r="I209">
        <f t="shared" si="34"/>
        <v>0.25199909596703396</v>
      </c>
      <c r="J209">
        <f t="shared" si="35"/>
        <v>0.25199909596703396</v>
      </c>
    </row>
    <row r="210" spans="1:10" x14ac:dyDescent="0.25">
      <c r="A210">
        <v>3.0459999999999998</v>
      </c>
      <c r="B210">
        <f t="shared" si="31"/>
        <v>205</v>
      </c>
      <c r="C210">
        <f t="shared" si="27"/>
        <v>-2.1144285520244837</v>
      </c>
      <c r="D210">
        <f t="shared" si="28"/>
        <v>2.7663741877015382</v>
      </c>
      <c r="E210">
        <f t="shared" si="29"/>
        <v>7.8190594903574495E-2</v>
      </c>
      <c r="F210">
        <f t="shared" si="30"/>
        <v>0.27962581229846162</v>
      </c>
      <c r="G210">
        <f t="shared" si="32"/>
        <v>6.1522960130309966E-2</v>
      </c>
      <c r="H210">
        <f t="shared" si="33"/>
        <v>2.8278971478318482</v>
      </c>
      <c r="I210">
        <f t="shared" si="34"/>
        <v>0.21810285216815162</v>
      </c>
      <c r="J210">
        <f t="shared" si="35"/>
        <v>0.21810285216815162</v>
      </c>
    </row>
    <row r="211" spans="1:10" x14ac:dyDescent="0.25">
      <c r="A211">
        <v>3.036</v>
      </c>
      <c r="B211">
        <f t="shared" si="31"/>
        <v>206</v>
      </c>
      <c r="C211">
        <f t="shared" si="27"/>
        <v>-2.0916476935779169</v>
      </c>
      <c r="D211">
        <f t="shared" si="28"/>
        <v>2.7891550461481049</v>
      </c>
      <c r="E211">
        <f t="shared" si="29"/>
        <v>6.0932431242144217E-2</v>
      </c>
      <c r="F211">
        <f t="shared" si="30"/>
        <v>0.24684495385189509</v>
      </c>
      <c r="G211">
        <f t="shared" si="32"/>
        <v>5.6260713434450473E-2</v>
      </c>
      <c r="H211">
        <f t="shared" si="33"/>
        <v>2.8454157595825555</v>
      </c>
      <c r="I211">
        <f t="shared" si="34"/>
        <v>0.19058424041744448</v>
      </c>
      <c r="J211">
        <f t="shared" si="35"/>
        <v>0.19058424041744448</v>
      </c>
    </row>
    <row r="212" spans="1:10" x14ac:dyDescent="0.25">
      <c r="A212">
        <v>2.9820000000000002</v>
      </c>
      <c r="B212">
        <f t="shared" si="31"/>
        <v>207</v>
      </c>
      <c r="C212">
        <f t="shared" si="27"/>
        <v>-2.0682470347782895</v>
      </c>
      <c r="D212">
        <f t="shared" si="28"/>
        <v>2.8125557049477323</v>
      </c>
      <c r="E212">
        <f t="shared" si="29"/>
        <v>2.8711369125760014E-2</v>
      </c>
      <c r="F212">
        <f t="shared" si="30"/>
        <v>0.16944429505226788</v>
      </c>
      <c r="G212">
        <f t="shared" si="32"/>
        <v>4.9665204715001292E-2</v>
      </c>
      <c r="H212">
        <f t="shared" si="33"/>
        <v>2.8622209096627338</v>
      </c>
      <c r="I212">
        <f t="shared" si="34"/>
        <v>0.11977909033726641</v>
      </c>
      <c r="J212">
        <f t="shared" si="35"/>
        <v>0.11977909033726641</v>
      </c>
    </row>
    <row r="213" spans="1:10" x14ac:dyDescent="0.25">
      <c r="A213">
        <v>3.3479999999999999</v>
      </c>
      <c r="B213">
        <f t="shared" si="31"/>
        <v>208</v>
      </c>
      <c r="C213">
        <f t="shared" si="27"/>
        <v>-2.0442335097458302</v>
      </c>
      <c r="D213">
        <f t="shared" si="28"/>
        <v>2.8365692299801917</v>
      </c>
      <c r="E213">
        <f t="shared" si="29"/>
        <v>0.26156143252305392</v>
      </c>
      <c r="F213">
        <f t="shared" si="30"/>
        <v>0.51143077001980819</v>
      </c>
      <c r="G213">
        <f t="shared" si="32"/>
        <v>3.4092192164516297E-2</v>
      </c>
      <c r="H213">
        <f t="shared" si="33"/>
        <v>2.8706614221447078</v>
      </c>
      <c r="I213">
        <f t="shared" si="34"/>
        <v>0.4773385778552921</v>
      </c>
      <c r="J213">
        <f t="shared" si="35"/>
        <v>0.4773385778552921</v>
      </c>
    </row>
    <row r="214" spans="1:10" x14ac:dyDescent="0.25">
      <c r="A214">
        <v>1.47</v>
      </c>
      <c r="B214">
        <f t="shared" si="31"/>
        <v>209</v>
      </c>
      <c r="C214">
        <f t="shared" si="27"/>
        <v>-2.0196142342062608</v>
      </c>
      <c r="D214">
        <f t="shared" si="28"/>
        <v>2.861188505519761</v>
      </c>
      <c r="E214">
        <f t="shared" si="29"/>
        <v>1.9354054578903062</v>
      </c>
      <c r="F214">
        <f t="shared" si="30"/>
        <v>-1.391188505519761</v>
      </c>
      <c r="G214">
        <f t="shared" si="32"/>
        <v>0.1028998709279854</v>
      </c>
      <c r="H214">
        <f t="shared" si="33"/>
        <v>2.9640883764477466</v>
      </c>
      <c r="I214">
        <f t="shared" si="34"/>
        <v>-1.4940883764477466</v>
      </c>
      <c r="J214">
        <f t="shared" si="35"/>
        <v>1.4940883764477466</v>
      </c>
    </row>
    <row r="215" spans="1:10" x14ac:dyDescent="0.25">
      <c r="A215">
        <v>3.0920000000000001</v>
      </c>
      <c r="B215">
        <f t="shared" si="31"/>
        <v>210</v>
      </c>
      <c r="C215">
        <f t="shared" si="27"/>
        <v>-1.9943965033822504</v>
      </c>
      <c r="D215">
        <f t="shared" si="28"/>
        <v>2.8864062363437712</v>
      </c>
      <c r="E215">
        <f t="shared" si="29"/>
        <v>4.226879565433328E-2</v>
      </c>
      <c r="F215">
        <f t="shared" si="30"/>
        <v>0.20559376365622883</v>
      </c>
      <c r="G215">
        <f t="shared" si="32"/>
        <v>-0.27990712731057593</v>
      </c>
      <c r="H215">
        <f t="shared" si="33"/>
        <v>2.6064991090331953</v>
      </c>
      <c r="I215">
        <f t="shared" si="34"/>
        <v>0.48550089096680482</v>
      </c>
      <c r="J215">
        <f t="shared" si="35"/>
        <v>0.48550089096680482</v>
      </c>
    </row>
    <row r="216" spans="1:10" x14ac:dyDescent="0.25">
      <c r="A216">
        <v>2.1960000000000002</v>
      </c>
      <c r="B216">
        <f t="shared" si="31"/>
        <v>211</v>
      </c>
      <c r="C216">
        <f t="shared" si="27"/>
        <v>-1.9685877898316864</v>
      </c>
      <c r="D216">
        <f t="shared" si="28"/>
        <v>2.9122149498943353</v>
      </c>
      <c r="E216">
        <f t="shared" si="29"/>
        <v>0.51296385445214498</v>
      </c>
      <c r="F216">
        <f t="shared" si="30"/>
        <v>-0.7162149498943351</v>
      </c>
      <c r="G216">
        <f t="shared" si="32"/>
        <v>4.1365465247633237E-2</v>
      </c>
      <c r="H216">
        <f t="shared" si="33"/>
        <v>2.9535804151419685</v>
      </c>
      <c r="I216">
        <f t="shared" si="34"/>
        <v>-0.75758041514196828</v>
      </c>
      <c r="J216">
        <f t="shared" si="35"/>
        <v>0.75758041514196828</v>
      </c>
    </row>
    <row r="217" spans="1:10" x14ac:dyDescent="0.25">
      <c r="A217">
        <v>3.0760000000000001</v>
      </c>
      <c r="B217">
        <f t="shared" si="31"/>
        <v>212</v>
      </c>
      <c r="C217">
        <f t="shared" si="27"/>
        <v>-1.9421957412333917</v>
      </c>
      <c r="D217">
        <f t="shared" si="28"/>
        <v>2.93860699849263</v>
      </c>
      <c r="E217">
        <f t="shared" si="29"/>
        <v>1.8876836863204204E-2</v>
      </c>
      <c r="F217">
        <f t="shared" si="30"/>
        <v>0.1373930015073701</v>
      </c>
      <c r="G217">
        <f t="shared" si="32"/>
        <v>-0.14410244791874022</v>
      </c>
      <c r="H217">
        <f t="shared" si="33"/>
        <v>2.7945045505738899</v>
      </c>
      <c r="I217">
        <f t="shared" si="34"/>
        <v>0.28149544942611016</v>
      </c>
      <c r="J217">
        <f t="shared" si="35"/>
        <v>0.28149544942611016</v>
      </c>
    </row>
    <row r="218" spans="1:10" x14ac:dyDescent="0.25">
      <c r="A218">
        <v>3.242</v>
      </c>
      <c r="B218">
        <f t="shared" si="31"/>
        <v>213</v>
      </c>
      <c r="C218">
        <f t="shared" si="27"/>
        <v>-1.9152281781209519</v>
      </c>
      <c r="D218">
        <f t="shared" si="28"/>
        <v>2.9655745616050702</v>
      </c>
      <c r="E218">
        <f t="shared" si="29"/>
        <v>7.6411022991829156E-2</v>
      </c>
      <c r="F218">
        <f t="shared" si="30"/>
        <v>0.27642543839492983</v>
      </c>
      <c r="G218">
        <f t="shared" si="32"/>
        <v>2.7643471903282864E-2</v>
      </c>
      <c r="H218">
        <f t="shared" si="33"/>
        <v>2.9932180335083531</v>
      </c>
      <c r="I218">
        <f t="shared" si="34"/>
        <v>0.24878196649164686</v>
      </c>
      <c r="J218">
        <f t="shared" si="35"/>
        <v>0.24878196649164686</v>
      </c>
    </row>
    <row r="219" spans="1:10" x14ac:dyDescent="0.25">
      <c r="A219">
        <v>2.6739999999999999</v>
      </c>
      <c r="B219">
        <f t="shared" si="31"/>
        <v>214</v>
      </c>
      <c r="C219">
        <f t="shared" si="27"/>
        <v>-1.8876930915653258</v>
      </c>
      <c r="D219">
        <f t="shared" si="28"/>
        <v>2.9931096481606962</v>
      </c>
      <c r="E219">
        <f t="shared" si="29"/>
        <v>0.1018309675492434</v>
      </c>
      <c r="F219">
        <f t="shared" si="30"/>
        <v>-0.31910964816069631</v>
      </c>
      <c r="G219">
        <f t="shared" si="32"/>
        <v>5.5616798205059881E-2</v>
      </c>
      <c r="H219">
        <f t="shared" si="33"/>
        <v>3.0487264463657562</v>
      </c>
      <c r="I219">
        <f t="shared" si="34"/>
        <v>-0.37472644636575625</v>
      </c>
      <c r="J219">
        <f t="shared" si="35"/>
        <v>0.37472644636575625</v>
      </c>
    </row>
    <row r="220" spans="1:10" x14ac:dyDescent="0.25">
      <c r="A220">
        <v>2.5259999999999998</v>
      </c>
      <c r="B220">
        <f t="shared" si="31"/>
        <v>215</v>
      </c>
      <c r="C220">
        <f t="shared" si="27"/>
        <v>-1.8595986408069147</v>
      </c>
      <c r="D220">
        <f t="shared" si="28"/>
        <v>3.0212040989191071</v>
      </c>
      <c r="E220">
        <f t="shared" si="29"/>
        <v>0.24522709958628502</v>
      </c>
      <c r="F220">
        <f t="shared" si="30"/>
        <v>-0.49520409891910733</v>
      </c>
      <c r="G220">
        <f t="shared" si="32"/>
        <v>-6.4204861209932101E-2</v>
      </c>
      <c r="H220">
        <f t="shared" si="33"/>
        <v>2.9569992377091752</v>
      </c>
      <c r="I220">
        <f t="shared" si="34"/>
        <v>-0.43099923770917536</v>
      </c>
      <c r="J220">
        <f t="shared" si="35"/>
        <v>0.43099923770917536</v>
      </c>
    </row>
    <row r="221" spans="1:10" x14ac:dyDescent="0.25">
      <c r="A221">
        <v>2.6219999999999999</v>
      </c>
      <c r="B221">
        <f t="shared" si="31"/>
        <v>216</v>
      </c>
      <c r="C221">
        <f t="shared" si="27"/>
        <v>-1.8309531508378076</v>
      </c>
      <c r="D221">
        <f t="shared" si="28"/>
        <v>3.0498495888882142</v>
      </c>
      <c r="E221">
        <f t="shared" si="29"/>
        <v>0.18305527071181402</v>
      </c>
      <c r="F221">
        <f t="shared" si="30"/>
        <v>-0.42784958888821434</v>
      </c>
      <c r="G221">
        <f t="shared" si="32"/>
        <v>-9.9635064702524395E-2</v>
      </c>
      <c r="H221">
        <f t="shared" si="33"/>
        <v>2.9502145241856899</v>
      </c>
      <c r="I221">
        <f t="shared" si="34"/>
        <v>-0.32821452418568997</v>
      </c>
      <c r="J221">
        <f t="shared" si="35"/>
        <v>0.32821452418568997</v>
      </c>
    </row>
    <row r="222" spans="1:10" x14ac:dyDescent="0.25">
      <c r="A222">
        <v>3.6240000000000001</v>
      </c>
      <c r="B222">
        <f t="shared" si="31"/>
        <v>217</v>
      </c>
      <c r="C222">
        <f t="shared" si="27"/>
        <v>-1.8017651099349021</v>
      </c>
      <c r="D222">
        <f t="shared" si="28"/>
        <v>3.0790376297911197</v>
      </c>
      <c r="E222">
        <f t="shared" si="29"/>
        <v>0.29698398494368078</v>
      </c>
      <c r="F222">
        <f t="shared" si="30"/>
        <v>0.54496237020888039</v>
      </c>
      <c r="G222">
        <f t="shared" si="32"/>
        <v>-8.6083337284308725E-2</v>
      </c>
      <c r="H222">
        <f t="shared" si="33"/>
        <v>2.9929542925068109</v>
      </c>
      <c r="I222">
        <f t="shared" si="34"/>
        <v>0.63104570749318922</v>
      </c>
      <c r="J222">
        <f t="shared" si="35"/>
        <v>0.63104570749318922</v>
      </c>
    </row>
    <row r="223" spans="1:10" x14ac:dyDescent="0.25">
      <c r="A223">
        <v>3.802</v>
      </c>
      <c r="B223">
        <f t="shared" si="31"/>
        <v>218</v>
      </c>
      <c r="C223">
        <f t="shared" si="27"/>
        <v>-1.772043167144647</v>
      </c>
      <c r="D223">
        <f t="shared" si="28"/>
        <v>3.1087595725813748</v>
      </c>
      <c r="E223">
        <f t="shared" si="29"/>
        <v>0.48058229020755822</v>
      </c>
      <c r="F223">
        <f t="shared" si="30"/>
        <v>0.69324042741862524</v>
      </c>
      <c r="G223">
        <f t="shared" si="32"/>
        <v>0.10964642888602673</v>
      </c>
      <c r="H223">
        <f t="shared" si="33"/>
        <v>3.2184060014674016</v>
      </c>
      <c r="I223">
        <f t="shared" si="34"/>
        <v>0.58359399853259841</v>
      </c>
      <c r="J223">
        <f t="shared" si="35"/>
        <v>0.58359399853259841</v>
      </c>
    </row>
    <row r="224" spans="1:10" x14ac:dyDescent="0.25">
      <c r="A224">
        <v>3.43</v>
      </c>
      <c r="B224">
        <f t="shared" si="31"/>
        <v>219</v>
      </c>
      <c r="C224">
        <f t="shared" si="27"/>
        <v>-1.741796129720143</v>
      </c>
      <c r="D224">
        <f t="shared" si="28"/>
        <v>3.1390066100058789</v>
      </c>
      <c r="E224">
        <f t="shared" si="29"/>
        <v>8.4677153020270762E-2</v>
      </c>
      <c r="F224">
        <f t="shared" si="30"/>
        <v>0.29099338999412128</v>
      </c>
      <c r="G224">
        <f t="shared" si="32"/>
        <v>0.1394799739966274</v>
      </c>
      <c r="H224">
        <f t="shared" si="33"/>
        <v>3.2784865840025064</v>
      </c>
      <c r="I224">
        <f t="shared" si="34"/>
        <v>0.15151341599749379</v>
      </c>
      <c r="J224">
        <f t="shared" si="35"/>
        <v>0.15151341599749379</v>
      </c>
    </row>
    <row r="225" spans="1:10" x14ac:dyDescent="0.25">
      <c r="A225">
        <v>3.56</v>
      </c>
      <c r="B225">
        <f t="shared" si="31"/>
        <v>220</v>
      </c>
      <c r="C225">
        <f t="shared" si="27"/>
        <v>-1.7110329605113628</v>
      </c>
      <c r="D225">
        <f t="shared" si="28"/>
        <v>3.1697697792146591</v>
      </c>
      <c r="E225">
        <f t="shared" si="29"/>
        <v>0.15227962521417596</v>
      </c>
      <c r="F225">
        <f t="shared" si="30"/>
        <v>0.39023022078534098</v>
      </c>
      <c r="G225">
        <f t="shared" si="32"/>
        <v>5.8547870066817199E-2</v>
      </c>
      <c r="H225">
        <f t="shared" si="33"/>
        <v>3.2283176492814762</v>
      </c>
      <c r="I225">
        <f t="shared" si="34"/>
        <v>0.33168235071852381</v>
      </c>
      <c r="J225">
        <f t="shared" si="35"/>
        <v>0.33168235071852381</v>
      </c>
    </row>
    <row r="226" spans="1:10" x14ac:dyDescent="0.25">
      <c r="A226">
        <v>1.1120000000000001</v>
      </c>
      <c r="B226">
        <f t="shared" si="31"/>
        <v>221</v>
      </c>
      <c r="C226">
        <f t="shared" si="27"/>
        <v>-1.6797627753092685</v>
      </c>
      <c r="D226">
        <f t="shared" si="28"/>
        <v>3.2010399644167533</v>
      </c>
      <c r="E226">
        <f t="shared" si="29"/>
        <v>4.3640879729303492</v>
      </c>
      <c r="F226">
        <f t="shared" si="30"/>
        <v>-2.0890399644167532</v>
      </c>
      <c r="G226">
        <f t="shared" si="32"/>
        <v>7.8514320422010606E-2</v>
      </c>
      <c r="H226">
        <f t="shared" si="33"/>
        <v>3.2795542848387638</v>
      </c>
      <c r="I226">
        <f t="shared" si="34"/>
        <v>-2.1675542848387637</v>
      </c>
      <c r="J226">
        <f t="shared" si="35"/>
        <v>2.1675542848387637</v>
      </c>
    </row>
    <row r="227" spans="1:10" x14ac:dyDescent="0.25">
      <c r="A227">
        <v>3.484</v>
      </c>
      <c r="B227">
        <f t="shared" si="31"/>
        <v>222</v>
      </c>
      <c r="C227">
        <f t="shared" si="27"/>
        <v>-1.6479948401446003</v>
      </c>
      <c r="D227">
        <f t="shared" si="28"/>
        <v>3.2328078995814216</v>
      </c>
      <c r="E227">
        <f t="shared" si="29"/>
        <v>6.309747131269719E-2</v>
      </c>
      <c r="F227">
        <f t="shared" si="30"/>
        <v>0.25119210041857842</v>
      </c>
      <c r="G227">
        <f t="shared" si="32"/>
        <v>-0.42031484084065074</v>
      </c>
      <c r="H227">
        <f t="shared" si="33"/>
        <v>2.8124930587407708</v>
      </c>
      <c r="I227">
        <f t="shared" si="34"/>
        <v>0.67150694125922916</v>
      </c>
      <c r="J227">
        <f t="shared" si="35"/>
        <v>0.67150694125922916</v>
      </c>
    </row>
    <row r="228" spans="1:10" x14ac:dyDescent="0.25">
      <c r="A228">
        <v>2.75</v>
      </c>
      <c r="B228">
        <f t="shared" si="31"/>
        <v>223</v>
      </c>
      <c r="C228">
        <f t="shared" si="27"/>
        <v>-1.6157385685421555</v>
      </c>
      <c r="D228">
        <f t="shared" si="28"/>
        <v>3.2650641711838664</v>
      </c>
      <c r="E228">
        <f t="shared" si="29"/>
        <v>0.26529110043732324</v>
      </c>
      <c r="F228">
        <f t="shared" si="30"/>
        <v>-0.51506417118386638</v>
      </c>
      <c r="G228">
        <f t="shared" si="32"/>
        <v>5.0539850604217978E-2</v>
      </c>
      <c r="H228">
        <f t="shared" si="33"/>
        <v>3.3156040217880842</v>
      </c>
      <c r="I228">
        <f t="shared" si="34"/>
        <v>-0.56560402178808422</v>
      </c>
      <c r="J228">
        <f t="shared" si="35"/>
        <v>0.56560402178808422</v>
      </c>
    </row>
    <row r="229" spans="1:10" x14ac:dyDescent="0.25">
      <c r="A229">
        <v>1.1120000000000001</v>
      </c>
      <c r="B229">
        <f t="shared" si="31"/>
        <v>224</v>
      </c>
      <c r="C229">
        <f t="shared" si="27"/>
        <v>-1.5830035187313565</v>
      </c>
      <c r="D229">
        <f t="shared" si="28"/>
        <v>3.2977992209946656</v>
      </c>
      <c r="E229">
        <f t="shared" si="29"/>
        <v>4.7777182345008864</v>
      </c>
      <c r="F229">
        <f t="shared" si="30"/>
        <v>-2.1857992209946655</v>
      </c>
      <c r="G229">
        <f t="shared" si="32"/>
        <v>-0.10363091124219391</v>
      </c>
      <c r="H229">
        <f t="shared" si="33"/>
        <v>3.1941683097524716</v>
      </c>
      <c r="I229">
        <f t="shared" si="34"/>
        <v>-2.0821683097524715</v>
      </c>
      <c r="J229">
        <f t="shared" si="35"/>
        <v>2.0821683097524715</v>
      </c>
    </row>
    <row r="230" spans="1:10" x14ac:dyDescent="0.25">
      <c r="A230">
        <v>3.5880000000000001</v>
      </c>
      <c r="B230">
        <f t="shared" si="31"/>
        <v>225</v>
      </c>
      <c r="C230">
        <f t="shared" si="27"/>
        <v>-1.5497993908139445</v>
      </c>
      <c r="D230">
        <f t="shared" si="28"/>
        <v>3.3310033489120774</v>
      </c>
      <c r="E230">
        <f t="shared" si="29"/>
        <v>6.604727867040748E-2</v>
      </c>
      <c r="F230">
        <f t="shared" si="30"/>
        <v>0.25699665108792269</v>
      </c>
      <c r="G230">
        <f t="shared" si="32"/>
        <v>-0.43978280326412666</v>
      </c>
      <c r="H230">
        <f t="shared" si="33"/>
        <v>2.8912205456479505</v>
      </c>
      <c r="I230">
        <f t="shared" si="34"/>
        <v>0.69677945435204958</v>
      </c>
      <c r="J230">
        <f t="shared" si="35"/>
        <v>0.69677945435204958</v>
      </c>
    </row>
    <row r="231" spans="1:10" x14ac:dyDescent="0.25">
      <c r="A231">
        <v>3.09</v>
      </c>
      <c r="B231">
        <f t="shared" si="31"/>
        <v>226</v>
      </c>
      <c r="C231">
        <f t="shared" si="27"/>
        <v>-1.516136023889624</v>
      </c>
      <c r="D231">
        <f t="shared" si="28"/>
        <v>3.3646667158363979</v>
      </c>
      <c r="E231">
        <f t="shared" si="29"/>
        <v>7.544180478835262E-2</v>
      </c>
      <c r="F231">
        <f t="shared" si="30"/>
        <v>-0.27466671583639801</v>
      </c>
      <c r="G231">
        <f t="shared" si="32"/>
        <v>5.1707726198890046E-2</v>
      </c>
      <c r="H231">
        <f t="shared" si="33"/>
        <v>3.4163744420352877</v>
      </c>
      <c r="I231">
        <f t="shared" si="34"/>
        <v>-0.32637444203528787</v>
      </c>
      <c r="J231">
        <f t="shared" si="35"/>
        <v>0.32637444203528787</v>
      </c>
    </row>
    <row r="232" spans="1:10" x14ac:dyDescent="0.25">
      <c r="A232">
        <v>2.504</v>
      </c>
      <c r="B232">
        <f t="shared" si="31"/>
        <v>227</v>
      </c>
      <c r="C232">
        <f t="shared" si="27"/>
        <v>-1.4820233931405298</v>
      </c>
      <c r="D232">
        <f t="shared" si="28"/>
        <v>3.3987793465854921</v>
      </c>
      <c r="E232">
        <f t="shared" si="29"/>
        <v>0.80063007907596018</v>
      </c>
      <c r="F232">
        <f t="shared" si="30"/>
        <v>-0.89477934658549207</v>
      </c>
      <c r="G232">
        <f t="shared" si="32"/>
        <v>-5.5262943226283279E-2</v>
      </c>
      <c r="H232">
        <f t="shared" si="33"/>
        <v>3.3435164033592089</v>
      </c>
      <c r="I232">
        <f t="shared" si="34"/>
        <v>-0.83951640335920885</v>
      </c>
      <c r="J232">
        <f t="shared" si="35"/>
        <v>0.83951640335920885</v>
      </c>
    </row>
    <row r="233" spans="1:10" x14ac:dyDescent="0.25">
      <c r="A233">
        <v>4.1100000000000003</v>
      </c>
      <c r="B233">
        <f t="shared" si="31"/>
        <v>228</v>
      </c>
      <c r="C233">
        <f t="shared" si="27"/>
        <v>-1.4474716068753632</v>
      </c>
      <c r="D233">
        <f t="shared" si="28"/>
        <v>3.4333311328506584</v>
      </c>
      <c r="E233">
        <f t="shared" si="29"/>
        <v>0.45788075576917375</v>
      </c>
      <c r="F233">
        <f t="shared" si="30"/>
        <v>0.67666886714934193</v>
      </c>
      <c r="G233">
        <f t="shared" si="32"/>
        <v>-0.18002960453300099</v>
      </c>
      <c r="H233">
        <f t="shared" si="33"/>
        <v>3.2533015283176576</v>
      </c>
      <c r="I233">
        <f t="shared" si="34"/>
        <v>0.8566984716823427</v>
      </c>
      <c r="J233">
        <f t="shared" si="35"/>
        <v>0.8566984716823427</v>
      </c>
    </row>
    <row r="234" spans="1:10" x14ac:dyDescent="0.25">
      <c r="A234">
        <v>3.8460000000000001</v>
      </c>
      <c r="B234">
        <f t="shared" si="31"/>
        <v>229</v>
      </c>
      <c r="C234">
        <f t="shared" si="27"/>
        <v>-1.4124909035340836</v>
      </c>
      <c r="D234">
        <f t="shared" si="28"/>
        <v>3.4683118361919383</v>
      </c>
      <c r="E234">
        <f t="shared" si="29"/>
        <v>0.14264834908070534</v>
      </c>
      <c r="F234">
        <f t="shared" si="30"/>
        <v>0.37768816380806181</v>
      </c>
      <c r="G234">
        <f t="shared" si="32"/>
        <v>0.13614577607044759</v>
      </c>
      <c r="H234">
        <f t="shared" si="33"/>
        <v>3.6044576122623857</v>
      </c>
      <c r="I234">
        <f t="shared" si="34"/>
        <v>0.24154238773761438</v>
      </c>
      <c r="J234">
        <f t="shared" si="35"/>
        <v>0.24154238773761438</v>
      </c>
    </row>
    <row r="235" spans="1:10" x14ac:dyDescent="0.25">
      <c r="A235">
        <v>1.1120000000000001</v>
      </c>
      <c r="B235">
        <f t="shared" si="31"/>
        <v>230</v>
      </c>
      <c r="C235">
        <f t="shared" si="27"/>
        <v>-1.3770916486540365</v>
      </c>
      <c r="D235">
        <f t="shared" si="28"/>
        <v>3.5037110910719855</v>
      </c>
      <c r="E235">
        <f t="shared" si="29"/>
        <v>5.7202819431567473</v>
      </c>
      <c r="F235">
        <f t="shared" si="30"/>
        <v>-2.3917110910719854</v>
      </c>
      <c r="G235">
        <f t="shared" si="32"/>
        <v>7.5990858558182037E-2</v>
      </c>
      <c r="H235">
        <f t="shared" si="33"/>
        <v>3.5797019496301674</v>
      </c>
      <c r="I235">
        <f t="shared" si="34"/>
        <v>-2.4677019496301673</v>
      </c>
      <c r="J235">
        <f t="shared" si="35"/>
        <v>2.4677019496301673</v>
      </c>
    </row>
    <row r="236" spans="1:10" x14ac:dyDescent="0.25">
      <c r="A236">
        <v>2.35</v>
      </c>
      <c r="B236">
        <f t="shared" si="31"/>
        <v>231</v>
      </c>
      <c r="C236">
        <f t="shared" si="27"/>
        <v>-1.3412843317984222</v>
      </c>
      <c r="D236">
        <f t="shared" si="28"/>
        <v>3.5395184079275994</v>
      </c>
      <c r="E236">
        <f t="shared" si="29"/>
        <v>1.4149540427986107</v>
      </c>
      <c r="F236">
        <f t="shared" si="30"/>
        <v>-1.1895184079275993</v>
      </c>
      <c r="G236">
        <f t="shared" si="32"/>
        <v>-0.48121227152368345</v>
      </c>
      <c r="H236">
        <f t="shared" si="33"/>
        <v>3.0583061364039161</v>
      </c>
      <c r="I236">
        <f t="shared" si="34"/>
        <v>-0.70830613640391604</v>
      </c>
      <c r="J236">
        <f t="shared" si="35"/>
        <v>0.70830613640391604</v>
      </c>
    </row>
    <row r="237" spans="1:10" x14ac:dyDescent="0.25">
      <c r="A237">
        <v>4.0720000000000001</v>
      </c>
      <c r="B237">
        <f t="shared" si="31"/>
        <v>232</v>
      </c>
      <c r="C237">
        <f t="shared" si="27"/>
        <v>-1.3050795634480088</v>
      </c>
      <c r="D237">
        <f t="shared" si="28"/>
        <v>3.5757231762780131</v>
      </c>
      <c r="E237">
        <f t="shared" si="29"/>
        <v>0.24629068576358415</v>
      </c>
      <c r="F237">
        <f t="shared" si="30"/>
        <v>0.496276823721987</v>
      </c>
      <c r="G237">
        <f t="shared" si="32"/>
        <v>-0.23933110367503296</v>
      </c>
      <c r="H237">
        <f t="shared" si="33"/>
        <v>3.3363920726029801</v>
      </c>
      <c r="I237">
        <f t="shared" si="34"/>
        <v>0.73560792739701997</v>
      </c>
      <c r="J237">
        <f t="shared" si="35"/>
        <v>0.73560792739701997</v>
      </c>
    </row>
    <row r="238" spans="1:10" x14ac:dyDescent="0.25">
      <c r="A238">
        <v>4.2759999999999998</v>
      </c>
      <c r="B238">
        <f t="shared" si="31"/>
        <v>233</v>
      </c>
      <c r="C238">
        <f t="shared" si="27"/>
        <v>-1.2684880718570219</v>
      </c>
      <c r="D238">
        <f t="shared" si="28"/>
        <v>3.6123146678689997</v>
      </c>
      <c r="E238">
        <f t="shared" si="29"/>
        <v>0.44047822008583593</v>
      </c>
      <c r="F238">
        <f t="shared" si="30"/>
        <v>0.66368533213100012</v>
      </c>
      <c r="G238">
        <f t="shared" si="32"/>
        <v>9.9850896932863781E-2</v>
      </c>
      <c r="H238">
        <f t="shared" si="33"/>
        <v>3.7121655648018637</v>
      </c>
      <c r="I238">
        <f t="shared" si="34"/>
        <v>0.56383443519813614</v>
      </c>
      <c r="J238">
        <f t="shared" si="35"/>
        <v>0.56383443519813614</v>
      </c>
    </row>
    <row r="239" spans="1:10" x14ac:dyDescent="0.25">
      <c r="A239">
        <v>3.6240000000000001</v>
      </c>
      <c r="B239">
        <f t="shared" si="31"/>
        <v>234</v>
      </c>
      <c r="C239">
        <f t="shared" si="27"/>
        <v>-1.2315206998741282</v>
      </c>
      <c r="D239">
        <f t="shared" si="28"/>
        <v>3.6492820398518937</v>
      </c>
      <c r="E239">
        <f t="shared" si="29"/>
        <v>6.3918153907273562E-4</v>
      </c>
      <c r="F239">
        <f t="shared" si="30"/>
        <v>-2.528203985189359E-2</v>
      </c>
      <c r="G239">
        <f t="shared" si="32"/>
        <v>0.13353348882475721</v>
      </c>
      <c r="H239">
        <f t="shared" si="33"/>
        <v>3.7828155286766507</v>
      </c>
      <c r="I239">
        <f t="shared" si="34"/>
        <v>-0.15881552867665061</v>
      </c>
      <c r="J239">
        <f t="shared" si="35"/>
        <v>0.15881552867665061</v>
      </c>
    </row>
    <row r="240" spans="1:10" x14ac:dyDescent="0.25">
      <c r="A240">
        <v>3.7120000000000002</v>
      </c>
      <c r="B240">
        <f t="shared" si="31"/>
        <v>235</v>
      </c>
      <c r="C240">
        <f t="shared" si="27"/>
        <v>-1.1941884017294706</v>
      </c>
      <c r="D240">
        <f t="shared" si="28"/>
        <v>3.6866143379965512</v>
      </c>
      <c r="E240">
        <f t="shared" si="29"/>
        <v>6.4443183535335116E-4</v>
      </c>
      <c r="F240">
        <f t="shared" si="30"/>
        <v>2.5385662003448939E-2</v>
      </c>
      <c r="G240">
        <f t="shared" si="32"/>
        <v>-5.08674641820099E-3</v>
      </c>
      <c r="H240">
        <f t="shared" si="33"/>
        <v>3.6815275915783503</v>
      </c>
      <c r="I240">
        <f t="shared" si="34"/>
        <v>3.0472408421649888E-2</v>
      </c>
      <c r="J240">
        <f t="shared" si="35"/>
        <v>3.0472408421649888E-2</v>
      </c>
    </row>
    <row r="241" spans="1:10" x14ac:dyDescent="0.25">
      <c r="A241">
        <v>3.556</v>
      </c>
      <c r="B241">
        <f t="shared" si="31"/>
        <v>236</v>
      </c>
      <c r="C241">
        <f t="shared" si="27"/>
        <v>-1.1565022397886817</v>
      </c>
      <c r="D241">
        <f t="shared" si="28"/>
        <v>3.7243004999373399</v>
      </c>
      <c r="E241">
        <f t="shared" si="29"/>
        <v>2.8325058279158537E-2</v>
      </c>
      <c r="F241">
        <f t="shared" si="30"/>
        <v>-0.16830049993733986</v>
      </c>
      <c r="G241">
        <f t="shared" si="32"/>
        <v>5.1075951950939266E-3</v>
      </c>
      <c r="H241">
        <f t="shared" si="33"/>
        <v>3.7294080951324338</v>
      </c>
      <c r="I241">
        <f t="shared" si="34"/>
        <v>-0.17340809513243371</v>
      </c>
      <c r="J241">
        <f t="shared" si="35"/>
        <v>0.17340809513243371</v>
      </c>
    </row>
    <row r="242" spans="1:10" x14ac:dyDescent="0.25">
      <c r="A242">
        <v>4.5119999999999996</v>
      </c>
      <c r="B242">
        <f t="shared" si="31"/>
        <v>237</v>
      </c>
      <c r="C242">
        <f t="shared" si="27"/>
        <v>-1.1184733812748808</v>
      </c>
      <c r="D242">
        <f t="shared" si="28"/>
        <v>3.762329358451141</v>
      </c>
      <c r="E242">
        <f t="shared" si="29"/>
        <v>0.5620060708002772</v>
      </c>
      <c r="F242">
        <f t="shared" si="30"/>
        <v>0.74967064154885854</v>
      </c>
      <c r="G242">
        <f t="shared" si="32"/>
        <v>-3.386206058739278E-2</v>
      </c>
      <c r="H242">
        <f t="shared" si="33"/>
        <v>3.7284672978637481</v>
      </c>
      <c r="I242">
        <f t="shared" si="34"/>
        <v>0.78353270213625148</v>
      </c>
      <c r="J242">
        <f t="shared" si="35"/>
        <v>0.78353270213625148</v>
      </c>
    </row>
    <row r="243" spans="1:10" x14ac:dyDescent="0.25">
      <c r="A243">
        <v>2.444</v>
      </c>
      <c r="B243">
        <f t="shared" si="31"/>
        <v>238</v>
      </c>
      <c r="C243">
        <f t="shared" si="27"/>
        <v>-1.0801130949595776</v>
      </c>
      <c r="D243">
        <f t="shared" si="28"/>
        <v>3.800689644766444</v>
      </c>
      <c r="E243">
        <f t="shared" si="29"/>
        <v>1.8406067922165001</v>
      </c>
      <c r="F243">
        <f t="shared" si="30"/>
        <v>-1.356689644766444</v>
      </c>
      <c r="G243">
        <f t="shared" si="32"/>
        <v>0.15083373307963033</v>
      </c>
      <c r="H243">
        <f t="shared" si="33"/>
        <v>3.9515233778460743</v>
      </c>
      <c r="I243">
        <f t="shared" si="34"/>
        <v>-1.5075233778460744</v>
      </c>
      <c r="J243">
        <f t="shared" si="35"/>
        <v>1.5075233778460744</v>
      </c>
    </row>
    <row r="244" spans="1:10" x14ac:dyDescent="0.25">
      <c r="A244">
        <v>4.29</v>
      </c>
      <c r="B244">
        <f t="shared" si="31"/>
        <v>239</v>
      </c>
      <c r="C244">
        <f t="shared" si="27"/>
        <v>-1.0414327478234866</v>
      </c>
      <c r="D244">
        <f t="shared" si="28"/>
        <v>3.8393699919025353</v>
      </c>
      <c r="E244">
        <f t="shared" si="29"/>
        <v>0.20306740419792119</v>
      </c>
      <c r="F244">
        <f t="shared" si="30"/>
        <v>0.45063000809746478</v>
      </c>
      <c r="G244">
        <f t="shared" si="32"/>
        <v>-0.2729659565270085</v>
      </c>
      <c r="H244">
        <f t="shared" si="33"/>
        <v>3.5664040353755269</v>
      </c>
      <c r="I244">
        <f t="shared" si="34"/>
        <v>0.72359596462447318</v>
      </c>
      <c r="J244">
        <f t="shared" si="35"/>
        <v>0.72359596462447318</v>
      </c>
    </row>
    <row r="245" spans="1:10" x14ac:dyDescent="0.25">
      <c r="A245">
        <v>4.3120000000000003</v>
      </c>
      <c r="B245">
        <f t="shared" si="31"/>
        <v>240</v>
      </c>
      <c r="C245">
        <f t="shared" si="27"/>
        <v>-1.0024438016882575</v>
      </c>
      <c r="D245">
        <f t="shared" si="28"/>
        <v>3.8783589380377643</v>
      </c>
      <c r="E245">
        <f t="shared" si="29"/>
        <v>0.18804457061973576</v>
      </c>
      <c r="F245">
        <f t="shared" si="30"/>
        <v>0.43364106196223595</v>
      </c>
      <c r="G245">
        <f t="shared" si="32"/>
        <v>9.0666757629209907E-2</v>
      </c>
      <c r="H245">
        <f t="shared" si="33"/>
        <v>3.9690256956669741</v>
      </c>
      <c r="I245">
        <f t="shared" si="34"/>
        <v>0.34297430433302623</v>
      </c>
      <c r="J245">
        <f t="shared" si="35"/>
        <v>0.34297430433302623</v>
      </c>
    </row>
    <row r="246" spans="1:10" x14ac:dyDescent="0.25">
      <c r="A246">
        <v>3.2719999999999998</v>
      </c>
      <c r="B246">
        <f t="shared" si="31"/>
        <v>241</v>
      </c>
      <c r="C246">
        <f t="shared" si="27"/>
        <v>-0.96315780982007715</v>
      </c>
      <c r="D246">
        <f t="shared" si="28"/>
        <v>3.9176449299059448</v>
      </c>
      <c r="E246">
        <f t="shared" si="29"/>
        <v>0.41685737551325264</v>
      </c>
      <c r="F246">
        <f t="shared" si="30"/>
        <v>-0.64564492990594502</v>
      </c>
      <c r="G246">
        <f t="shared" si="32"/>
        <v>8.7248581666801869E-2</v>
      </c>
      <c r="H246">
        <f t="shared" si="33"/>
        <v>4.0048935115727469</v>
      </c>
      <c r="I246">
        <f t="shared" si="34"/>
        <v>-0.73289351157274707</v>
      </c>
      <c r="J246">
        <f t="shared" si="35"/>
        <v>0.73289351157274707</v>
      </c>
    </row>
    <row r="247" spans="1:10" x14ac:dyDescent="0.25">
      <c r="A247">
        <v>4.4820000000000002</v>
      </c>
      <c r="B247">
        <f t="shared" si="31"/>
        <v>242</v>
      </c>
      <c r="C247">
        <f t="shared" si="27"/>
        <v>-0.92358641350619908</v>
      </c>
      <c r="D247">
        <f t="shared" si="28"/>
        <v>3.9572163262198226</v>
      </c>
      <c r="E247">
        <f t="shared" si="29"/>
        <v>0.27539790426621991</v>
      </c>
      <c r="F247">
        <f t="shared" si="30"/>
        <v>0.52478367378017765</v>
      </c>
      <c r="G247">
        <f t="shared" si="32"/>
        <v>-0.12990375989707614</v>
      </c>
      <c r="H247">
        <f t="shared" si="33"/>
        <v>3.8273125663227465</v>
      </c>
      <c r="I247">
        <f t="shared" si="34"/>
        <v>0.65468743367725368</v>
      </c>
      <c r="J247">
        <f t="shared" si="35"/>
        <v>0.65468743367725368</v>
      </c>
    </row>
    <row r="248" spans="1:10" x14ac:dyDescent="0.25">
      <c r="A248">
        <v>4.1539999999999999</v>
      </c>
      <c r="B248">
        <f t="shared" si="31"/>
        <v>243</v>
      </c>
      <c r="C248">
        <f t="shared" si="27"/>
        <v>-0.88374133860537407</v>
      </c>
      <c r="D248">
        <f t="shared" si="28"/>
        <v>3.9970614011206478</v>
      </c>
      <c r="E248">
        <f t="shared" si="29"/>
        <v>2.4629723818214187E-2</v>
      </c>
      <c r="F248">
        <f t="shared" si="30"/>
        <v>0.15693859887935213</v>
      </c>
      <c r="G248">
        <f t="shared" si="32"/>
        <v>0.10558647516457174</v>
      </c>
      <c r="H248">
        <f t="shared" si="33"/>
        <v>4.1026478762852197</v>
      </c>
      <c r="I248">
        <f t="shared" si="34"/>
        <v>5.1352123714780262E-2</v>
      </c>
      <c r="J248">
        <f t="shared" si="35"/>
        <v>5.1352123714780262E-2</v>
      </c>
    </row>
    <row r="249" spans="1:10" x14ac:dyDescent="0.25">
      <c r="A249">
        <v>4.54</v>
      </c>
      <c r="B249">
        <f t="shared" si="31"/>
        <v>244</v>
      </c>
      <c r="C249">
        <f t="shared" si="27"/>
        <v>-0.84363439207321789</v>
      </c>
      <c r="D249">
        <f t="shared" si="28"/>
        <v>4.0371683476528037</v>
      </c>
      <c r="E249">
        <f t="shared" si="29"/>
        <v>0.25283967060221169</v>
      </c>
      <c r="F249">
        <f t="shared" si="30"/>
        <v>0.50283165234719629</v>
      </c>
      <c r="G249">
        <f t="shared" si="32"/>
        <v>3.1576046094525648E-2</v>
      </c>
      <c r="H249">
        <f t="shared" si="33"/>
        <v>4.0687443937473295</v>
      </c>
      <c r="I249">
        <f t="shared" si="34"/>
        <v>0.47125560625267049</v>
      </c>
      <c r="J249">
        <f t="shared" si="35"/>
        <v>0.47125560625267049</v>
      </c>
    </row>
    <row r="250" spans="1:10" x14ac:dyDescent="0.25">
      <c r="A250">
        <v>4.0860000000000003</v>
      </c>
      <c r="B250">
        <f t="shared" si="31"/>
        <v>245</v>
      </c>
      <c r="C250">
        <f t="shared" si="27"/>
        <v>-0.80327745846357124</v>
      </c>
      <c r="D250">
        <f t="shared" si="28"/>
        <v>4.0775252812624503</v>
      </c>
      <c r="E250">
        <f t="shared" si="29"/>
        <v>7.1820857680581288E-5</v>
      </c>
      <c r="F250">
        <f t="shared" si="30"/>
        <v>8.4747187375500133E-3</v>
      </c>
      <c r="G250">
        <f t="shared" si="32"/>
        <v>0.10116972845225589</v>
      </c>
      <c r="H250">
        <f t="shared" si="33"/>
        <v>4.1786950097147058</v>
      </c>
      <c r="I250">
        <f t="shared" si="34"/>
        <v>-9.2695009714705456E-2</v>
      </c>
      <c r="J250">
        <f t="shared" si="35"/>
        <v>9.2695009714705456E-2</v>
      </c>
    </row>
    <row r="251" spans="1:10" x14ac:dyDescent="0.25">
      <c r="A251">
        <v>4.7640000000000002</v>
      </c>
      <c r="B251">
        <f t="shared" si="31"/>
        <v>246</v>
      </c>
      <c r="C251">
        <f t="shared" si="27"/>
        <v>-0.76268249640683239</v>
      </c>
      <c r="D251">
        <f t="shared" si="28"/>
        <v>4.1181202433191899</v>
      </c>
      <c r="E251">
        <f t="shared" si="29"/>
        <v>0.41716066009006275</v>
      </c>
      <c r="F251">
        <f t="shared" si="30"/>
        <v>0.64587975668081032</v>
      </c>
      <c r="G251">
        <f t="shared" si="32"/>
        <v>1.7051134099950625E-3</v>
      </c>
      <c r="H251">
        <f t="shared" si="33"/>
        <v>4.1198253567291854</v>
      </c>
      <c r="I251">
        <f t="shared" si="34"/>
        <v>0.64417464327081486</v>
      </c>
      <c r="J251">
        <f t="shared" si="35"/>
        <v>0.64417464327081486</v>
      </c>
    </row>
    <row r="252" spans="1:10" x14ac:dyDescent="0.25">
      <c r="A252">
        <v>4.2539999999999996</v>
      </c>
      <c r="B252">
        <f t="shared" si="31"/>
        <v>247</v>
      </c>
      <c r="C252">
        <f t="shared" si="27"/>
        <v>-0.72186153506637152</v>
      </c>
      <c r="D252">
        <f t="shared" si="28"/>
        <v>4.1589412046596506</v>
      </c>
      <c r="E252">
        <f t="shared" si="29"/>
        <v>9.0361745715583572E-3</v>
      </c>
      <c r="F252">
        <f t="shared" si="30"/>
        <v>9.5058795340349E-2</v>
      </c>
      <c r="G252">
        <f t="shared" si="32"/>
        <v>0.12995100704417903</v>
      </c>
      <c r="H252">
        <f t="shared" si="33"/>
        <v>4.2888922117038293</v>
      </c>
      <c r="I252">
        <f t="shared" si="34"/>
        <v>-3.4892211703829723E-2</v>
      </c>
      <c r="J252">
        <f t="shared" si="35"/>
        <v>3.4892211703829723E-2</v>
      </c>
    </row>
    <row r="253" spans="1:10" x14ac:dyDescent="0.25">
      <c r="A253">
        <v>4.6639999999999997</v>
      </c>
      <c r="B253">
        <f t="shared" si="31"/>
        <v>248</v>
      </c>
      <c r="C253">
        <f t="shared" si="27"/>
        <v>-0.68082667057402491</v>
      </c>
      <c r="D253">
        <f t="shared" si="28"/>
        <v>4.1999760691519974</v>
      </c>
      <c r="E253">
        <f t="shared" si="29"/>
        <v>0.21531820839963162</v>
      </c>
      <c r="F253">
        <f t="shared" si="30"/>
        <v>0.46402393084800231</v>
      </c>
      <c r="G253">
        <f t="shared" si="32"/>
        <v>1.9125829622478219E-2</v>
      </c>
      <c r="H253">
        <f t="shared" si="33"/>
        <v>4.2191018987744755</v>
      </c>
      <c r="I253">
        <f t="shared" si="34"/>
        <v>0.4448981012255242</v>
      </c>
      <c r="J253">
        <f t="shared" si="35"/>
        <v>0.4448981012255242</v>
      </c>
    </row>
    <row r="254" spans="1:10" x14ac:dyDescent="0.25">
      <c r="A254">
        <v>4.4059999999999997</v>
      </c>
      <c r="B254">
        <f t="shared" si="31"/>
        <v>249</v>
      </c>
      <c r="C254">
        <f t="shared" si="27"/>
        <v>-0.63959006244574235</v>
      </c>
      <c r="D254">
        <f t="shared" si="28"/>
        <v>4.2412126772802798</v>
      </c>
      <c r="E254">
        <f t="shared" si="29"/>
        <v>2.71548617291331E-2</v>
      </c>
      <c r="F254">
        <f t="shared" si="30"/>
        <v>0.16478732271971985</v>
      </c>
      <c r="G254">
        <f t="shared" si="32"/>
        <v>9.3361614886618066E-2</v>
      </c>
      <c r="H254">
        <f t="shared" si="33"/>
        <v>4.3345742921668977</v>
      </c>
      <c r="I254">
        <f t="shared" si="34"/>
        <v>7.1425707833101981E-2</v>
      </c>
      <c r="J254">
        <f t="shared" si="35"/>
        <v>7.1425707833101981E-2</v>
      </c>
    </row>
    <row r="255" spans="1:10" x14ac:dyDescent="0.25">
      <c r="A255">
        <v>5.0949999999999998</v>
      </c>
      <c r="B255">
        <f t="shared" si="31"/>
        <v>250</v>
      </c>
      <c r="C255">
        <f t="shared" si="27"/>
        <v>-0.59816392997847501</v>
      </c>
      <c r="D255">
        <f t="shared" si="28"/>
        <v>4.2826388097475467</v>
      </c>
      <c r="E255">
        <f t="shared" si="29"/>
        <v>0.65993070342838211</v>
      </c>
      <c r="F255">
        <f t="shared" si="30"/>
        <v>0.81236119025245301</v>
      </c>
      <c r="G255">
        <f t="shared" si="32"/>
        <v>3.3155209331207636E-2</v>
      </c>
      <c r="H255">
        <f t="shared" si="33"/>
        <v>4.315794019078754</v>
      </c>
      <c r="I255">
        <f t="shared" si="34"/>
        <v>0.77920598092124571</v>
      </c>
      <c r="J255">
        <f t="shared" si="35"/>
        <v>0.77920598092124571</v>
      </c>
    </row>
    <row r="256" spans="1:10" x14ac:dyDescent="0.25">
      <c r="A256">
        <v>4.9509999999999996</v>
      </c>
      <c r="B256">
        <f t="shared" si="31"/>
        <v>251</v>
      </c>
      <c r="C256">
        <f t="shared" si="27"/>
        <v>-0.55656054862931781</v>
      </c>
      <c r="D256">
        <f t="shared" si="28"/>
        <v>4.3242421910967037</v>
      </c>
      <c r="E256">
        <f t="shared" si="29"/>
        <v>0.39282535102126037</v>
      </c>
      <c r="F256">
        <f t="shared" si="30"/>
        <v>0.62675780890329591</v>
      </c>
      <c r="G256">
        <f t="shared" si="32"/>
        <v>0.16344707147879353</v>
      </c>
      <c r="H256">
        <f t="shared" si="33"/>
        <v>4.4876892625754969</v>
      </c>
      <c r="I256">
        <f t="shared" si="34"/>
        <v>0.46331073742450268</v>
      </c>
      <c r="J256">
        <f t="shared" si="35"/>
        <v>0.46331073742450268</v>
      </c>
    </row>
    <row r="257" spans="1:10" x14ac:dyDescent="0.25">
      <c r="A257">
        <v>5.26</v>
      </c>
      <c r="B257">
        <f t="shared" si="31"/>
        <v>252</v>
      </c>
      <c r="C257">
        <f t="shared" si="27"/>
        <v>-0.51479224637804166</v>
      </c>
      <c r="D257">
        <f t="shared" si="28"/>
        <v>4.3660104933479804</v>
      </c>
      <c r="E257">
        <f t="shared" si="29"/>
        <v>0.79921723800392097</v>
      </c>
      <c r="F257">
        <f t="shared" si="30"/>
        <v>0.89398950665201937</v>
      </c>
      <c r="G257">
        <f t="shared" si="32"/>
        <v>0.12610367115134313</v>
      </c>
      <c r="H257">
        <f t="shared" si="33"/>
        <v>4.4921141644993234</v>
      </c>
      <c r="I257">
        <f t="shared" si="34"/>
        <v>0.76788583550067635</v>
      </c>
      <c r="J257">
        <f t="shared" si="35"/>
        <v>0.76788583550067635</v>
      </c>
    </row>
    <row r="258" spans="1:10" x14ac:dyDescent="0.25">
      <c r="A258">
        <v>4.2240000000000002</v>
      </c>
      <c r="B258">
        <f t="shared" si="31"/>
        <v>253</v>
      </c>
      <c r="C258">
        <f t="shared" si="27"/>
        <v>-0.47287140007403905</v>
      </c>
      <c r="D258">
        <f t="shared" si="28"/>
        <v>4.4079313396519826</v>
      </c>
      <c r="E258">
        <f t="shared" si="29"/>
        <v>3.3830737706172904E-2</v>
      </c>
      <c r="F258">
        <f t="shared" si="30"/>
        <v>-0.18393133965198238</v>
      </c>
      <c r="G258">
        <f t="shared" si="32"/>
        <v>0.1798706887383863</v>
      </c>
      <c r="H258">
        <f t="shared" si="33"/>
        <v>4.5878020283903691</v>
      </c>
      <c r="I258">
        <f t="shared" si="34"/>
        <v>-0.3638020283903689</v>
      </c>
      <c r="J258">
        <f t="shared" si="35"/>
        <v>0.3638020283903689</v>
      </c>
    </row>
    <row r="259" spans="1:10" x14ac:dyDescent="0.25">
      <c r="A259">
        <v>4.5720000000000001</v>
      </c>
      <c r="B259">
        <f t="shared" si="31"/>
        <v>254</v>
      </c>
      <c r="C259">
        <f t="shared" si="27"/>
        <v>-0.43081043176879169</v>
      </c>
      <c r="D259">
        <f t="shared" si="28"/>
        <v>4.4499923079572303</v>
      </c>
      <c r="E259">
        <f t="shared" si="29"/>
        <v>1.4885876917603336E-2</v>
      </c>
      <c r="F259">
        <f t="shared" si="30"/>
        <v>0.12200769204276973</v>
      </c>
      <c r="G259">
        <f t="shared" si="32"/>
        <v>-3.7006985537978855E-2</v>
      </c>
      <c r="H259">
        <f t="shared" si="33"/>
        <v>4.4129853224192512</v>
      </c>
      <c r="I259">
        <f t="shared" si="34"/>
        <v>0.15901467758074883</v>
      </c>
      <c r="J259">
        <f t="shared" si="35"/>
        <v>0.15901467758074883</v>
      </c>
    </row>
    <row r="260" spans="1:10" x14ac:dyDescent="0.25">
      <c r="A260">
        <v>4.141</v>
      </c>
      <c r="B260">
        <f t="shared" si="31"/>
        <v>255</v>
      </c>
      <c r="C260">
        <f t="shared" si="27"/>
        <v>-0.38862180503496296</v>
      </c>
      <c r="D260">
        <f t="shared" si="28"/>
        <v>4.4921809346910591</v>
      </c>
      <c r="E260">
        <f t="shared" si="29"/>
        <v>0.12332804889048588</v>
      </c>
      <c r="F260">
        <f t="shared" si="30"/>
        <v>-0.35118093469105904</v>
      </c>
      <c r="G260">
        <f t="shared" si="32"/>
        <v>2.4547947639005269E-2</v>
      </c>
      <c r="H260">
        <f t="shared" si="33"/>
        <v>4.5167288823300646</v>
      </c>
      <c r="I260">
        <f t="shared" si="34"/>
        <v>-0.37572888233006463</v>
      </c>
      <c r="J260">
        <f t="shared" si="35"/>
        <v>0.37572888233006463</v>
      </c>
    </row>
    <row r="261" spans="1:10" x14ac:dyDescent="0.25">
      <c r="A261">
        <v>4.3959999999999999</v>
      </c>
      <c r="B261">
        <f t="shared" si="31"/>
        <v>256</v>
      </c>
      <c r="C261">
        <f t="shared" si="27"/>
        <v>-0.34631802127315453</v>
      </c>
      <c r="D261">
        <f t="shared" si="28"/>
        <v>4.5344847184528669</v>
      </c>
      <c r="E261">
        <f t="shared" si="29"/>
        <v>1.9178017244969849E-2</v>
      </c>
      <c r="F261">
        <f t="shared" si="30"/>
        <v>-0.13848471845286703</v>
      </c>
      <c r="G261">
        <f t="shared" si="32"/>
        <v>-7.0657604059841075E-2</v>
      </c>
      <c r="H261">
        <f t="shared" si="33"/>
        <v>4.4638271143930259</v>
      </c>
      <c r="I261">
        <f t="shared" si="34"/>
        <v>-6.7827114393026022E-2</v>
      </c>
      <c r="J261">
        <f t="shared" si="35"/>
        <v>6.7827114393026022E-2</v>
      </c>
    </row>
    <row r="262" spans="1:10" x14ac:dyDescent="0.25">
      <c r="A262">
        <v>3.516</v>
      </c>
      <c r="B262">
        <f t="shared" si="31"/>
        <v>257</v>
      </c>
      <c r="C262">
        <f t="shared" si="27"/>
        <v>-0.30391161600748801</v>
      </c>
      <c r="D262">
        <f t="shared" si="28"/>
        <v>4.5768911237185339</v>
      </c>
      <c r="E262">
        <f t="shared" si="29"/>
        <v>1.1254899763847737</v>
      </c>
      <c r="F262">
        <f t="shared" si="30"/>
        <v>-1.0608911237185339</v>
      </c>
      <c r="G262">
        <f t="shared" si="32"/>
        <v>-2.7863125352716844E-2</v>
      </c>
      <c r="H262">
        <f t="shared" si="33"/>
        <v>4.5490279983658173</v>
      </c>
      <c r="I262">
        <f t="shared" si="34"/>
        <v>-1.0330279983658173</v>
      </c>
      <c r="J262">
        <f t="shared" si="35"/>
        <v>1.0330279983658173</v>
      </c>
    </row>
    <row r="263" spans="1:10" x14ac:dyDescent="0.25">
      <c r="A263">
        <v>4.6260000000000003</v>
      </c>
      <c r="B263">
        <f t="shared" si="31"/>
        <v>258</v>
      </c>
      <c r="C263">
        <f t="shared" ref="C263:C326" si="36">C$2*COS(C$1*B263)+C$3*SIN(C$1*B263)</f>
        <v>-0.26141515517105079</v>
      </c>
      <c r="D263">
        <f t="shared" ref="D263:D326" si="37">$A$2+C263</f>
        <v>4.6193875845549712</v>
      </c>
      <c r="E263">
        <f t="shared" ref="E263:E326" si="38">(A263-D263)^2</f>
        <v>4.3724038017659486E-5</v>
      </c>
      <c r="F263">
        <f t="shared" ref="F263:F326" si="39">A263-D263</f>
        <v>6.6124154450291073E-3</v>
      </c>
      <c r="G263">
        <f t="shared" si="32"/>
        <v>-0.21345129409216901</v>
      </c>
      <c r="H263">
        <f t="shared" si="33"/>
        <v>4.4059362904628019</v>
      </c>
      <c r="I263">
        <f t="shared" si="34"/>
        <v>0.22006370953719845</v>
      </c>
      <c r="J263">
        <f t="shared" si="35"/>
        <v>0.22006370953719845</v>
      </c>
    </row>
    <row r="264" spans="1:10" x14ac:dyDescent="0.25">
      <c r="A264">
        <v>5.1829999999999998</v>
      </c>
      <c r="B264">
        <f t="shared" ref="B264:B327" si="40">B263+1</f>
        <v>259</v>
      </c>
      <c r="C264">
        <f t="shared" si="36"/>
        <v>-0.21884123138233291</v>
      </c>
      <c r="D264">
        <f t="shared" si="37"/>
        <v>4.6619615083436887</v>
      </c>
      <c r="E264">
        <f t="shared" si="38"/>
        <v>0.2714811097874838</v>
      </c>
      <c r="F264">
        <f t="shared" si="39"/>
        <v>0.52103849165631111</v>
      </c>
      <c r="G264">
        <f t="shared" ref="G264:G327" si="41">$H$1*F263</f>
        <v>1.3304179875398563E-3</v>
      </c>
      <c r="H264">
        <f t="shared" ref="H264:H327" si="42">D264+G264</f>
        <v>4.6632919263312287</v>
      </c>
      <c r="I264">
        <f t="shared" ref="I264:I327" si="43">A264-H264</f>
        <v>0.51970807366877114</v>
      </c>
      <c r="J264">
        <f t="shared" ref="J264:J327" si="44">ABS(I264)</f>
        <v>0.51970807366877114</v>
      </c>
    </row>
    <row r="265" spans="1:10" x14ac:dyDescent="0.25">
      <c r="A265">
        <v>3.9510000000000001</v>
      </c>
      <c r="B265">
        <f t="shared" si="40"/>
        <v>260</v>
      </c>
      <c r="C265">
        <f t="shared" si="36"/>
        <v>-0.17620246021377817</v>
      </c>
      <c r="D265">
        <f t="shared" si="37"/>
        <v>4.7046002795122437</v>
      </c>
      <c r="E265">
        <f t="shared" si="38"/>
        <v>0.56791338128093172</v>
      </c>
      <c r="F265">
        <f t="shared" si="39"/>
        <v>-0.75360027951224362</v>
      </c>
      <c r="G265">
        <f t="shared" si="41"/>
        <v>0.10483294452124979</v>
      </c>
      <c r="H265">
        <f t="shared" si="42"/>
        <v>4.8094332240334934</v>
      </c>
      <c r="I265">
        <f t="shared" si="43"/>
        <v>-0.85843322403349331</v>
      </c>
      <c r="J265">
        <f t="shared" si="44"/>
        <v>0.85843322403349331</v>
      </c>
    </row>
    <row r="266" spans="1:10" x14ac:dyDescent="0.25">
      <c r="A266">
        <v>4.1360000000000001</v>
      </c>
      <c r="B266">
        <f t="shared" si="40"/>
        <v>261</v>
      </c>
      <c r="C266">
        <f t="shared" si="36"/>
        <v>-0.13351147645349937</v>
      </c>
      <c r="D266">
        <f t="shared" si="37"/>
        <v>4.7472912632725226</v>
      </c>
      <c r="E266">
        <f t="shared" si="38"/>
        <v>0.37367700855331637</v>
      </c>
      <c r="F266">
        <f t="shared" si="39"/>
        <v>-0.61129126327252248</v>
      </c>
      <c r="G266">
        <f t="shared" si="41"/>
        <v>-0.1516243762378634</v>
      </c>
      <c r="H266">
        <f t="shared" si="42"/>
        <v>4.5956668870346595</v>
      </c>
      <c r="I266">
        <f t="shared" si="43"/>
        <v>-0.45966688703465941</v>
      </c>
      <c r="J266">
        <f t="shared" si="44"/>
        <v>0.45966688703465941</v>
      </c>
    </row>
    <row r="267" spans="1:10" x14ac:dyDescent="0.25">
      <c r="A267">
        <v>5.4279999999999999</v>
      </c>
      <c r="B267">
        <f t="shared" si="40"/>
        <v>262</v>
      </c>
      <c r="C267">
        <f t="shared" si="36"/>
        <v>-9.0780930361333612E-2</v>
      </c>
      <c r="D267">
        <f t="shared" si="37"/>
        <v>4.7900218093646885</v>
      </c>
      <c r="E267">
        <f t="shared" si="38"/>
        <v>0.40701617172630583</v>
      </c>
      <c r="F267">
        <f t="shared" si="39"/>
        <v>0.63797819063531147</v>
      </c>
      <c r="G267">
        <f t="shared" si="41"/>
        <v>-0.12299180217043151</v>
      </c>
      <c r="H267">
        <f t="shared" si="42"/>
        <v>4.6670300071942572</v>
      </c>
      <c r="I267">
        <f t="shared" si="43"/>
        <v>0.76096999280574273</v>
      </c>
      <c r="J267">
        <f t="shared" si="44"/>
        <v>0.76096999280574273</v>
      </c>
    </row>
    <row r="268" spans="1:10" x14ac:dyDescent="0.25">
      <c r="A268">
        <v>5.2450000000000001</v>
      </c>
      <c r="B268">
        <f t="shared" si="40"/>
        <v>263</v>
      </c>
      <c r="C268">
        <f t="shared" si="36"/>
        <v>-4.802348392029121E-2</v>
      </c>
      <c r="D268">
        <f t="shared" si="37"/>
        <v>4.8327792558057308</v>
      </c>
      <c r="E268">
        <f t="shared" si="38"/>
        <v>0.16992594194407726</v>
      </c>
      <c r="F268">
        <f t="shared" si="39"/>
        <v>0.41222074419426935</v>
      </c>
      <c r="G268">
        <f t="shared" si="41"/>
        <v>0.12836121195582467</v>
      </c>
      <c r="H268">
        <f t="shared" si="42"/>
        <v>4.9611404677615552</v>
      </c>
      <c r="I268">
        <f t="shared" si="43"/>
        <v>0.28385953223844496</v>
      </c>
      <c r="J268">
        <f t="shared" si="44"/>
        <v>0.28385953223844496</v>
      </c>
    </row>
    <row r="269" spans="1:10" x14ac:dyDescent="0.25">
      <c r="A269">
        <v>5.7619999999999996</v>
      </c>
      <c r="B269">
        <f t="shared" si="40"/>
        <v>264</v>
      </c>
      <c r="C269">
        <f t="shared" si="36"/>
        <v>-5.2518070845293252E-3</v>
      </c>
      <c r="D269">
        <f t="shared" si="37"/>
        <v>4.8755509326414925</v>
      </c>
      <c r="E269">
        <f t="shared" si="38"/>
        <v>0.78579194902076699</v>
      </c>
      <c r="F269">
        <f t="shared" si="39"/>
        <v>0.88644906735850704</v>
      </c>
      <c r="G269">
        <f t="shared" si="41"/>
        <v>8.2938813731886996E-2</v>
      </c>
      <c r="H269">
        <f t="shared" si="42"/>
        <v>4.9584897463733792</v>
      </c>
      <c r="I269">
        <f t="shared" si="43"/>
        <v>0.80351025362662032</v>
      </c>
      <c r="J269">
        <f t="shared" si="44"/>
        <v>0.80351025362662032</v>
      </c>
    </row>
    <row r="270" spans="1:10" x14ac:dyDescent="0.25">
      <c r="A270">
        <v>5.7009999999999996</v>
      </c>
      <c r="B270">
        <f t="shared" si="40"/>
        <v>265</v>
      </c>
      <c r="C270">
        <f t="shared" si="36"/>
        <v>3.7521425975012845E-2</v>
      </c>
      <c r="D270">
        <f t="shared" si="37"/>
        <v>4.9183241657010344</v>
      </c>
      <c r="E270">
        <f t="shared" si="38"/>
        <v>0.61258146159558136</v>
      </c>
      <c r="F270">
        <f t="shared" si="39"/>
        <v>0.78267583429896526</v>
      </c>
      <c r="G270">
        <f t="shared" si="41"/>
        <v>0.17835355235253161</v>
      </c>
      <c r="H270">
        <f t="shared" si="42"/>
        <v>5.0966777180535656</v>
      </c>
      <c r="I270">
        <f t="shared" si="43"/>
        <v>0.604322281946434</v>
      </c>
      <c r="J270">
        <f t="shared" si="44"/>
        <v>0.604322281946434</v>
      </c>
    </row>
    <row r="271" spans="1:10" x14ac:dyDescent="0.25">
      <c r="A271">
        <v>4.6890000000000001</v>
      </c>
      <c r="B271">
        <f t="shared" si="40"/>
        <v>266</v>
      </c>
      <c r="C271">
        <f t="shared" si="36"/>
        <v>8.0283540626262084E-2</v>
      </c>
      <c r="D271">
        <f t="shared" si="37"/>
        <v>4.9610862803522835</v>
      </c>
      <c r="E271">
        <f t="shared" si="38"/>
        <v>7.4030943955941383E-2</v>
      </c>
      <c r="F271">
        <f t="shared" si="39"/>
        <v>-0.27208628035228344</v>
      </c>
      <c r="G271">
        <f t="shared" si="41"/>
        <v>0.15747437786095181</v>
      </c>
      <c r="H271">
        <f t="shared" si="42"/>
        <v>5.1185606582132355</v>
      </c>
      <c r="I271">
        <f t="shared" si="43"/>
        <v>-0.42956065821323541</v>
      </c>
      <c r="J271">
        <f t="shared" si="44"/>
        <v>0.42956065821323541</v>
      </c>
    </row>
    <row r="272" spans="1:10" x14ac:dyDescent="0.25">
      <c r="A272">
        <v>5.7320000000000002</v>
      </c>
      <c r="B272">
        <f t="shared" si="40"/>
        <v>267</v>
      </c>
      <c r="C272">
        <f t="shared" si="36"/>
        <v>0.12302186553176309</v>
      </c>
      <c r="D272">
        <f t="shared" si="37"/>
        <v>5.0038246052577851</v>
      </c>
      <c r="E272">
        <f t="shared" si="38"/>
        <v>0.53023940550798088</v>
      </c>
      <c r="F272">
        <f t="shared" si="39"/>
        <v>0.72817539474221515</v>
      </c>
      <c r="G272">
        <f t="shared" si="41"/>
        <v>-5.4743759606879425E-2</v>
      </c>
      <c r="H272">
        <f t="shared" si="42"/>
        <v>4.9490808456509052</v>
      </c>
      <c r="I272">
        <f t="shared" si="43"/>
        <v>0.78291915434909498</v>
      </c>
      <c r="J272">
        <f t="shared" si="44"/>
        <v>0.78291915434909498</v>
      </c>
    </row>
    <row r="273" spans="1:10" x14ac:dyDescent="0.25">
      <c r="A273">
        <v>5.1829999999999998</v>
      </c>
      <c r="B273">
        <f t="shared" si="40"/>
        <v>268</v>
      </c>
      <c r="C273">
        <f t="shared" si="36"/>
        <v>0.16572373640347551</v>
      </c>
      <c r="D273">
        <f t="shared" si="37"/>
        <v>5.0465264761294977</v>
      </c>
      <c r="E273">
        <f t="shared" si="38"/>
        <v>1.8625022717632521E-2</v>
      </c>
      <c r="F273">
        <f t="shared" si="39"/>
        <v>0.13647352387050216</v>
      </c>
      <c r="G273">
        <f t="shared" si="41"/>
        <v>0.14650888942213369</v>
      </c>
      <c r="H273">
        <f t="shared" si="42"/>
        <v>5.1930353655516317</v>
      </c>
      <c r="I273">
        <f t="shared" si="43"/>
        <v>-1.003536555163187E-2</v>
      </c>
      <c r="J273">
        <f t="shared" si="44"/>
        <v>1.003536555163187E-2</v>
      </c>
    </row>
    <row r="274" spans="1:10" x14ac:dyDescent="0.25">
      <c r="A274">
        <v>4.6749999999999998</v>
      </c>
      <c r="B274">
        <f t="shared" si="40"/>
        <v>269</v>
      </c>
      <c r="C274">
        <f t="shared" si="36"/>
        <v>0.20837649975548256</v>
      </c>
      <c r="D274">
        <f t="shared" si="37"/>
        <v>5.0891792394815045</v>
      </c>
      <c r="E274">
        <f t="shared" si="38"/>
        <v>0.17154444241747763</v>
      </c>
      <c r="F274">
        <f t="shared" si="39"/>
        <v>-0.4141792394815047</v>
      </c>
      <c r="G274">
        <f t="shared" si="41"/>
        <v>2.7458473002745034E-2</v>
      </c>
      <c r="H274">
        <f t="shared" si="42"/>
        <v>5.1166377124842493</v>
      </c>
      <c r="I274">
        <f t="shared" si="43"/>
        <v>-0.44163771248424943</v>
      </c>
      <c r="J274">
        <f t="shared" si="44"/>
        <v>0.44163771248424943</v>
      </c>
    </row>
    <row r="275" spans="1:10" x14ac:dyDescent="0.25">
      <c r="A275">
        <v>4.9729999999999999</v>
      </c>
      <c r="B275">
        <f t="shared" si="40"/>
        <v>270</v>
      </c>
      <c r="C275">
        <f t="shared" si="36"/>
        <v>0.25096751665347683</v>
      </c>
      <c r="D275">
        <f t="shared" si="37"/>
        <v>5.1317702563794985</v>
      </c>
      <c r="E275">
        <f t="shared" si="38"/>
        <v>2.5207994310811714E-2</v>
      </c>
      <c r="F275">
        <f t="shared" si="39"/>
        <v>-0.1587702563794986</v>
      </c>
      <c r="G275">
        <f t="shared" si="41"/>
        <v>-8.3332862983678743E-2</v>
      </c>
      <c r="H275">
        <f t="shared" si="42"/>
        <v>5.0484373933958198</v>
      </c>
      <c r="I275">
        <f t="shared" si="43"/>
        <v>-7.5437393395819896E-2</v>
      </c>
      <c r="J275">
        <f t="shared" si="44"/>
        <v>7.5437393395819896E-2</v>
      </c>
    </row>
    <row r="276" spans="1:10" x14ac:dyDescent="0.25">
      <c r="A276">
        <v>4.9290000000000003</v>
      </c>
      <c r="B276">
        <f t="shared" si="40"/>
        <v>271</v>
      </c>
      <c r="C276">
        <f t="shared" si="36"/>
        <v>0.29348416645996606</v>
      </c>
      <c r="D276">
        <f t="shared" si="37"/>
        <v>5.174286906185988</v>
      </c>
      <c r="E276">
        <f t="shared" si="38"/>
        <v>6.0165666346293528E-2</v>
      </c>
      <c r="F276">
        <f t="shared" si="39"/>
        <v>-0.2452869061859877</v>
      </c>
      <c r="G276">
        <f t="shared" si="41"/>
        <v>-3.1944575583555117E-2</v>
      </c>
      <c r="H276">
        <f t="shared" si="42"/>
        <v>5.1423423306024327</v>
      </c>
      <c r="I276">
        <f t="shared" si="43"/>
        <v>-0.21334233060243246</v>
      </c>
      <c r="J276">
        <f t="shared" si="44"/>
        <v>0.21334233060243246</v>
      </c>
    </row>
    <row r="277" spans="1:10" x14ac:dyDescent="0.25">
      <c r="A277">
        <v>6.0369999999999999</v>
      </c>
      <c r="B277">
        <f t="shared" si="40"/>
        <v>272</v>
      </c>
      <c r="C277">
        <f t="shared" si="36"/>
        <v>0.33591385057402623</v>
      </c>
      <c r="D277">
        <f t="shared" si="37"/>
        <v>5.2167165903000479</v>
      </c>
      <c r="E277">
        <f t="shared" si="38"/>
        <v>0.67286487222897939</v>
      </c>
      <c r="F277">
        <f t="shared" si="39"/>
        <v>0.82028340969995206</v>
      </c>
      <c r="G277">
        <f t="shared" si="41"/>
        <v>-4.9351725524620721E-2</v>
      </c>
      <c r="H277">
        <f t="shared" si="42"/>
        <v>5.1673648647754273</v>
      </c>
      <c r="I277">
        <f t="shared" si="43"/>
        <v>0.86963513522457259</v>
      </c>
      <c r="J277">
        <f t="shared" si="44"/>
        <v>0.86963513522457259</v>
      </c>
    </row>
    <row r="278" spans="1:10" x14ac:dyDescent="0.25">
      <c r="A278">
        <v>5.5789999999999997</v>
      </c>
      <c r="B278">
        <f t="shared" si="40"/>
        <v>273</v>
      </c>
      <c r="C278">
        <f t="shared" si="36"/>
        <v>0.37824399616454452</v>
      </c>
      <c r="D278">
        <f t="shared" si="37"/>
        <v>5.2590467358905659</v>
      </c>
      <c r="E278">
        <f t="shared" si="38"/>
        <v>0.1023700912142811</v>
      </c>
      <c r="F278">
        <f t="shared" si="39"/>
        <v>0.31995326410943381</v>
      </c>
      <c r="G278">
        <f t="shared" si="41"/>
        <v>0.16504102203163035</v>
      </c>
      <c r="H278">
        <f t="shared" si="42"/>
        <v>5.4240877579221962</v>
      </c>
      <c r="I278">
        <f t="shared" si="43"/>
        <v>0.15491224207780352</v>
      </c>
      <c r="J278">
        <f t="shared" si="44"/>
        <v>0.15491224207780352</v>
      </c>
    </row>
    <row r="279" spans="1:10" x14ac:dyDescent="0.25">
      <c r="A279">
        <v>5.4889999999999999</v>
      </c>
      <c r="B279">
        <f t="shared" si="40"/>
        <v>274</v>
      </c>
      <c r="C279">
        <f t="shared" si="36"/>
        <v>0.42046205989582741</v>
      </c>
      <c r="D279">
        <f t="shared" si="37"/>
        <v>5.3012647996218494</v>
      </c>
      <c r="E279">
        <f t="shared" si="38"/>
        <v>3.5244505461024318E-2</v>
      </c>
      <c r="F279">
        <f t="shared" si="39"/>
        <v>0.1877352003781505</v>
      </c>
      <c r="G279">
        <f t="shared" si="41"/>
        <v>6.4374596738818082E-2</v>
      </c>
      <c r="H279">
        <f t="shared" si="42"/>
        <v>5.3656393963606677</v>
      </c>
      <c r="I279">
        <f t="shared" si="43"/>
        <v>0.12336060363933221</v>
      </c>
      <c r="J279">
        <f t="shared" si="44"/>
        <v>0.12336060363933221</v>
      </c>
    </row>
    <row r="280" spans="1:10" x14ac:dyDescent="0.25">
      <c r="A280">
        <v>1.603</v>
      </c>
      <c r="B280">
        <f t="shared" si="40"/>
        <v>275</v>
      </c>
      <c r="C280">
        <f t="shared" si="36"/>
        <v>0.46255553164444652</v>
      </c>
      <c r="D280">
        <f t="shared" si="37"/>
        <v>5.3433582713704686</v>
      </c>
      <c r="E280">
        <f t="shared" si="38"/>
        <v>13.990279998209482</v>
      </c>
      <c r="F280">
        <f t="shared" si="39"/>
        <v>-3.7403582713704688</v>
      </c>
      <c r="G280">
        <f t="shared" si="41"/>
        <v>3.7772322316083878E-2</v>
      </c>
      <c r="H280">
        <f t="shared" si="42"/>
        <v>5.3811305936865521</v>
      </c>
      <c r="I280">
        <f t="shared" si="43"/>
        <v>-3.7781305936865524</v>
      </c>
      <c r="J280">
        <f t="shared" si="44"/>
        <v>3.7781305936865524</v>
      </c>
    </row>
    <row r="281" spans="1:10" x14ac:dyDescent="0.25">
      <c r="A281">
        <v>6.141</v>
      </c>
      <c r="B281">
        <f t="shared" si="40"/>
        <v>276</v>
      </c>
      <c r="C281">
        <f t="shared" si="36"/>
        <v>0.5045119382062756</v>
      </c>
      <c r="D281">
        <f t="shared" si="37"/>
        <v>5.3853146779322971</v>
      </c>
      <c r="E281">
        <f t="shared" si="38"/>
        <v>0.57106030598856783</v>
      </c>
      <c r="F281">
        <f t="shared" si="39"/>
        <v>0.75568532206770289</v>
      </c>
      <c r="G281">
        <f t="shared" si="41"/>
        <v>-0.7525600841997383</v>
      </c>
      <c r="H281">
        <f t="shared" si="42"/>
        <v>4.6327545937325585</v>
      </c>
      <c r="I281">
        <f t="shared" si="43"/>
        <v>1.5082454062674415</v>
      </c>
      <c r="J281">
        <f t="shared" si="44"/>
        <v>1.5082454062674415</v>
      </c>
    </row>
    <row r="282" spans="1:10" x14ac:dyDescent="0.25">
      <c r="A282">
        <v>5.3559999999999999</v>
      </c>
      <c r="B282">
        <f t="shared" si="40"/>
        <v>277</v>
      </c>
      <c r="C282">
        <f t="shared" si="36"/>
        <v>0.54631884699255473</v>
      </c>
      <c r="D282">
        <f t="shared" si="37"/>
        <v>5.4271215867185765</v>
      </c>
      <c r="E282">
        <f t="shared" si="38"/>
        <v>5.0582800973680113E-3</v>
      </c>
      <c r="F282">
        <f t="shared" si="39"/>
        <v>-7.1121586718576602E-2</v>
      </c>
      <c r="G282">
        <f t="shared" si="41"/>
        <v>0.15204388680002182</v>
      </c>
      <c r="H282">
        <f t="shared" si="42"/>
        <v>5.5791654735185983</v>
      </c>
      <c r="I282">
        <f t="shared" si="43"/>
        <v>-0.22316547351859839</v>
      </c>
      <c r="J282">
        <f t="shared" si="44"/>
        <v>0.22316547351859839</v>
      </c>
    </row>
    <row r="283" spans="1:10" x14ac:dyDescent="0.25">
      <c r="A283">
        <v>4.1950000000000003</v>
      </c>
      <c r="B283">
        <f t="shared" si="40"/>
        <v>278</v>
      </c>
      <c r="C283">
        <f t="shared" si="36"/>
        <v>0.58796386971394154</v>
      </c>
      <c r="D283">
        <f t="shared" si="37"/>
        <v>5.4687666094399638</v>
      </c>
      <c r="E283">
        <f t="shared" si="38"/>
        <v>1.6224813753241807</v>
      </c>
      <c r="F283">
        <f t="shared" si="39"/>
        <v>-1.2737666094399636</v>
      </c>
      <c r="G283">
        <f t="shared" si="41"/>
        <v>-1.4309663247777611E-2</v>
      </c>
      <c r="H283">
        <f t="shared" si="42"/>
        <v>5.4544569461921864</v>
      </c>
      <c r="I283">
        <f t="shared" si="43"/>
        <v>-1.2594569461921861</v>
      </c>
      <c r="J283">
        <f t="shared" si="44"/>
        <v>1.2594569461921861</v>
      </c>
    </row>
    <row r="284" spans="1:10" x14ac:dyDescent="0.25">
      <c r="A284">
        <v>4.4180000000000001</v>
      </c>
      <c r="B284">
        <f t="shared" si="40"/>
        <v>279</v>
      </c>
      <c r="C284">
        <f t="shared" si="36"/>
        <v>0.6294346660514345</v>
      </c>
      <c r="D284">
        <f t="shared" si="37"/>
        <v>5.5102374057774561</v>
      </c>
      <c r="E284">
        <f t="shared" si="38"/>
        <v>1.1929825505794671</v>
      </c>
      <c r="F284">
        <f t="shared" si="39"/>
        <v>-1.092237405777456</v>
      </c>
      <c r="G284">
        <f t="shared" si="41"/>
        <v>-0.25628184181932068</v>
      </c>
      <c r="H284">
        <f t="shared" si="42"/>
        <v>5.2539555639581357</v>
      </c>
      <c r="I284">
        <f t="shared" si="43"/>
        <v>-0.83595556395813553</v>
      </c>
      <c r="J284">
        <f t="shared" si="44"/>
        <v>0.83595556395813553</v>
      </c>
    </row>
    <row r="285" spans="1:10" x14ac:dyDescent="0.25">
      <c r="A285">
        <v>5.9169999999999998</v>
      </c>
      <c r="B285">
        <f t="shared" si="40"/>
        <v>280</v>
      </c>
      <c r="C285">
        <f t="shared" si="36"/>
        <v>0.6707189473130617</v>
      </c>
      <c r="D285">
        <f t="shared" si="37"/>
        <v>5.5515216870390836</v>
      </c>
      <c r="E285">
        <f t="shared" si="38"/>
        <v>0.13357439724475745</v>
      </c>
      <c r="F285">
        <f t="shared" si="39"/>
        <v>0.36547831296091626</v>
      </c>
      <c r="G285">
        <f t="shared" si="41"/>
        <v>-0.21975816604242412</v>
      </c>
      <c r="H285">
        <f t="shared" si="42"/>
        <v>5.3317635209966596</v>
      </c>
      <c r="I285">
        <f t="shared" si="43"/>
        <v>0.58523647900334019</v>
      </c>
      <c r="J285">
        <f t="shared" si="44"/>
        <v>0.58523647900334019</v>
      </c>
    </row>
    <row r="286" spans="1:10" x14ac:dyDescent="0.25">
      <c r="A286">
        <v>5.8840000000000003</v>
      </c>
      <c r="B286">
        <f t="shared" si="40"/>
        <v>281</v>
      </c>
      <c r="C286">
        <f t="shared" si="36"/>
        <v>0.71180448007530184</v>
      </c>
      <c r="D286">
        <f t="shared" si="37"/>
        <v>5.5926072198013239</v>
      </c>
      <c r="E286">
        <f t="shared" si="38"/>
        <v>8.4909752351914156E-2</v>
      </c>
      <c r="F286">
        <f t="shared" si="39"/>
        <v>0.29139278019867643</v>
      </c>
      <c r="G286">
        <f t="shared" si="41"/>
        <v>7.3534236567736347E-2</v>
      </c>
      <c r="H286">
        <f t="shared" si="42"/>
        <v>5.6661414563690604</v>
      </c>
      <c r="I286">
        <f t="shared" si="43"/>
        <v>0.21785854363093993</v>
      </c>
      <c r="J286">
        <f t="shared" si="44"/>
        <v>0.21785854363093993</v>
      </c>
    </row>
    <row r="287" spans="1:10" x14ac:dyDescent="0.25">
      <c r="A287">
        <v>4.0709999999999997</v>
      </c>
      <c r="B287">
        <f t="shared" si="40"/>
        <v>282</v>
      </c>
      <c r="C287">
        <f t="shared" si="36"/>
        <v>0.75267908980809684</v>
      </c>
      <c r="D287">
        <f t="shared" si="37"/>
        <v>5.6334818295341185</v>
      </c>
      <c r="E287">
        <f t="shared" si="38"/>
        <v>2.4413494676242871</v>
      </c>
      <c r="F287">
        <f t="shared" si="39"/>
        <v>-1.5624818295341187</v>
      </c>
      <c r="G287">
        <f t="shared" si="41"/>
        <v>5.8628227375973695E-2</v>
      </c>
      <c r="H287">
        <f t="shared" si="42"/>
        <v>5.6921100569100922</v>
      </c>
      <c r="I287">
        <f t="shared" si="43"/>
        <v>-1.6211100569100925</v>
      </c>
      <c r="J287">
        <f t="shared" si="44"/>
        <v>1.6211100569100925</v>
      </c>
    </row>
    <row r="288" spans="1:10" x14ac:dyDescent="0.25">
      <c r="A288">
        <v>5.4210000000000003</v>
      </c>
      <c r="B288">
        <f t="shared" si="40"/>
        <v>283</v>
      </c>
      <c r="C288">
        <f t="shared" si="36"/>
        <v>0.79333066448243428</v>
      </c>
      <c r="D288">
        <f t="shared" si="37"/>
        <v>5.6741334042084564</v>
      </c>
      <c r="E288">
        <f t="shared" si="38"/>
        <v>6.407652032616161E-2</v>
      </c>
      <c r="F288">
        <f t="shared" si="39"/>
        <v>-0.25313340420845609</v>
      </c>
      <c r="G288">
        <f t="shared" si="41"/>
        <v>-0.31437134410226469</v>
      </c>
      <c r="H288">
        <f t="shared" si="42"/>
        <v>5.3597620601061919</v>
      </c>
      <c r="I288">
        <f t="shared" si="43"/>
        <v>6.1237939893808324E-2</v>
      </c>
      <c r="J288">
        <f t="shared" si="44"/>
        <v>6.1237939893808324E-2</v>
      </c>
    </row>
    <row r="289" spans="1:10" x14ac:dyDescent="0.25">
      <c r="A289">
        <v>6.6769999999999996</v>
      </c>
      <c r="B289">
        <f t="shared" si="40"/>
        <v>284</v>
      </c>
      <c r="C289">
        <f t="shared" si="36"/>
        <v>0.83374715815940981</v>
      </c>
      <c r="D289">
        <f t="shared" si="37"/>
        <v>5.7145498978854317</v>
      </c>
      <c r="E289">
        <f t="shared" si="38"/>
        <v>0.92631019906034229</v>
      </c>
      <c r="F289">
        <f t="shared" si="39"/>
        <v>0.96245010211456794</v>
      </c>
      <c r="G289">
        <f t="shared" si="41"/>
        <v>-5.0930440926741365E-2</v>
      </c>
      <c r="H289">
        <f t="shared" si="42"/>
        <v>5.6636194569586902</v>
      </c>
      <c r="I289">
        <f t="shared" si="43"/>
        <v>1.0133805430413094</v>
      </c>
      <c r="J289">
        <f t="shared" si="44"/>
        <v>1.0133805430413094</v>
      </c>
    </row>
    <row r="290" spans="1:10" x14ac:dyDescent="0.25">
      <c r="A290">
        <v>6.2140000000000004</v>
      </c>
      <c r="B290">
        <f t="shared" si="40"/>
        <v>285</v>
      </c>
      <c r="C290">
        <f t="shared" si="36"/>
        <v>0.87391659455968307</v>
      </c>
      <c r="D290">
        <f t="shared" si="37"/>
        <v>5.7547193342857046</v>
      </c>
      <c r="E290">
        <f t="shared" si="38"/>
        <v>0.21093872989896675</v>
      </c>
      <c r="F290">
        <f t="shared" si="39"/>
        <v>0.45928066571429582</v>
      </c>
      <c r="G290">
        <f t="shared" si="41"/>
        <v>0.19364496054545105</v>
      </c>
      <c r="H290">
        <f t="shared" si="42"/>
        <v>5.9483642948311557</v>
      </c>
      <c r="I290">
        <f t="shared" si="43"/>
        <v>0.26563570516884472</v>
      </c>
      <c r="J290">
        <f t="shared" si="44"/>
        <v>0.26563570516884472</v>
      </c>
    </row>
    <row r="291" spans="1:10" x14ac:dyDescent="0.25">
      <c r="A291">
        <v>6.141</v>
      </c>
      <c r="B291">
        <f t="shared" si="40"/>
        <v>286</v>
      </c>
      <c r="C291">
        <f t="shared" si="36"/>
        <v>0.91382707061232571</v>
      </c>
      <c r="D291">
        <f t="shared" si="37"/>
        <v>5.794629810338348</v>
      </c>
      <c r="E291">
        <f t="shared" si="38"/>
        <v>0.11997230828624879</v>
      </c>
      <c r="F291">
        <f t="shared" si="39"/>
        <v>0.34637018966165201</v>
      </c>
      <c r="G291">
        <f t="shared" si="41"/>
        <v>9.2407269941716316E-2</v>
      </c>
      <c r="H291">
        <f t="shared" si="42"/>
        <v>5.8870370802800647</v>
      </c>
      <c r="I291">
        <f t="shared" si="43"/>
        <v>0.25396291971993534</v>
      </c>
      <c r="J291">
        <f t="shared" si="44"/>
        <v>0.25396291971993534</v>
      </c>
    </row>
    <row r="292" spans="1:10" x14ac:dyDescent="0.25">
      <c r="A292">
        <v>6.5270000000000001</v>
      </c>
      <c r="B292">
        <f t="shared" si="40"/>
        <v>287</v>
      </c>
      <c r="C292">
        <f t="shared" si="36"/>
        <v>0.95346675998194241</v>
      </c>
      <c r="D292">
        <f t="shared" si="37"/>
        <v>5.8342694997079647</v>
      </c>
      <c r="E292">
        <f t="shared" si="38"/>
        <v>0.47987554603485366</v>
      </c>
      <c r="F292">
        <f t="shared" si="39"/>
        <v>0.69273050029203542</v>
      </c>
      <c r="G292">
        <f t="shared" si="41"/>
        <v>6.9689682159924382E-2</v>
      </c>
      <c r="H292">
        <f t="shared" si="42"/>
        <v>5.9039591818678891</v>
      </c>
      <c r="I292">
        <f t="shared" si="43"/>
        <v>0.62304081813211099</v>
      </c>
      <c r="J292">
        <f t="shared" si="44"/>
        <v>0.62304081813211099</v>
      </c>
    </row>
    <row r="293" spans="1:10" x14ac:dyDescent="0.25">
      <c r="A293">
        <v>6.7320000000000002</v>
      </c>
      <c r="B293">
        <f t="shared" si="40"/>
        <v>288</v>
      </c>
      <c r="C293">
        <f t="shared" si="36"/>
        <v>0.99282391657307634</v>
      </c>
      <c r="D293">
        <f t="shared" si="37"/>
        <v>5.8736266562990984</v>
      </c>
      <c r="E293">
        <f t="shared" si="38"/>
        <v>0.73680479717626646</v>
      </c>
      <c r="F293">
        <f t="shared" si="39"/>
        <v>0.85837334370090179</v>
      </c>
      <c r="G293">
        <f t="shared" si="41"/>
        <v>0.13937737665875752</v>
      </c>
      <c r="H293">
        <f t="shared" si="42"/>
        <v>6.0130040329578556</v>
      </c>
      <c r="I293">
        <f t="shared" si="43"/>
        <v>0.71899596704214463</v>
      </c>
      <c r="J293">
        <f t="shared" si="44"/>
        <v>0.71899596704214463</v>
      </c>
    </row>
    <row r="294" spans="1:10" x14ac:dyDescent="0.25">
      <c r="A294">
        <v>6.8239999999999998</v>
      </c>
      <c r="B294">
        <f t="shared" si="40"/>
        <v>289</v>
      </c>
      <c r="C294">
        <f t="shared" si="36"/>
        <v>1.031886878010837</v>
      </c>
      <c r="D294">
        <f t="shared" si="37"/>
        <v>5.9126896177368593</v>
      </c>
      <c r="E294">
        <f t="shared" si="38"/>
        <v>0.83048661282059133</v>
      </c>
      <c r="F294">
        <f t="shared" si="39"/>
        <v>0.91131038226314054</v>
      </c>
      <c r="G294">
        <f t="shared" si="41"/>
        <v>0.17270471675262145</v>
      </c>
      <c r="H294">
        <f t="shared" si="42"/>
        <v>6.0853943344894805</v>
      </c>
      <c r="I294">
        <f t="shared" si="43"/>
        <v>0.73860566551051932</v>
      </c>
      <c r="J294">
        <f t="shared" si="44"/>
        <v>0.73860566551051932</v>
      </c>
    </row>
    <row r="295" spans="1:10" x14ac:dyDescent="0.25">
      <c r="A295">
        <v>5.4219999999999997</v>
      </c>
      <c r="B295">
        <f t="shared" si="40"/>
        <v>290</v>
      </c>
      <c r="C295">
        <f t="shared" si="36"/>
        <v>1.0706440690966981</v>
      </c>
      <c r="D295">
        <f t="shared" si="37"/>
        <v>5.9514468088227197</v>
      </c>
      <c r="E295">
        <f t="shared" si="38"/>
        <v>0.28031392337256184</v>
      </c>
      <c r="F295">
        <f t="shared" si="39"/>
        <v>-0.52944680882271999</v>
      </c>
      <c r="G295">
        <f t="shared" si="41"/>
        <v>0.18335564891134387</v>
      </c>
      <c r="H295">
        <f t="shared" si="42"/>
        <v>6.1348024577340636</v>
      </c>
      <c r="I295">
        <f t="shared" si="43"/>
        <v>-0.71280245773406392</v>
      </c>
      <c r="J295">
        <f t="shared" si="44"/>
        <v>0.71280245773406392</v>
      </c>
    </row>
    <row r="296" spans="1:10" x14ac:dyDescent="0.25">
      <c r="A296">
        <v>6.0659999999999998</v>
      </c>
      <c r="B296">
        <f t="shared" si="40"/>
        <v>291</v>
      </c>
      <c r="C296">
        <f t="shared" si="36"/>
        <v>1.1090840052384963</v>
      </c>
      <c r="D296">
        <f t="shared" si="37"/>
        <v>5.9898867449645179</v>
      </c>
      <c r="E296">
        <f t="shared" si="38"/>
        <v>5.793227592096317E-3</v>
      </c>
      <c r="F296">
        <f t="shared" si="39"/>
        <v>7.6113255035481941E-2</v>
      </c>
      <c r="G296">
        <f t="shared" si="41"/>
        <v>-0.10652469793513125</v>
      </c>
      <c r="H296">
        <f t="shared" si="42"/>
        <v>5.8833620470293866</v>
      </c>
      <c r="I296">
        <f t="shared" si="43"/>
        <v>0.18263795297061325</v>
      </c>
      <c r="J296">
        <f t="shared" si="44"/>
        <v>0.18263795297061325</v>
      </c>
    </row>
    <row r="297" spans="1:10" x14ac:dyDescent="0.25">
      <c r="A297">
        <v>5.444</v>
      </c>
      <c r="B297">
        <f t="shared" si="40"/>
        <v>292</v>
      </c>
      <c r="C297">
        <f t="shared" si="36"/>
        <v>1.1471952958535492</v>
      </c>
      <c r="D297">
        <f t="shared" si="37"/>
        <v>6.0279980355795715</v>
      </c>
      <c r="E297">
        <f t="shared" si="38"/>
        <v>0.3410537055607985</v>
      </c>
      <c r="F297">
        <f t="shared" si="39"/>
        <v>-0.58399803557957153</v>
      </c>
      <c r="G297">
        <f t="shared" si="41"/>
        <v>1.5313986913138965E-2</v>
      </c>
      <c r="H297">
        <f t="shared" si="42"/>
        <v>6.0433120224927102</v>
      </c>
      <c r="I297">
        <f t="shared" si="43"/>
        <v>-0.59931202249271021</v>
      </c>
      <c r="J297">
        <f t="shared" si="44"/>
        <v>0.59931202249271021</v>
      </c>
    </row>
    <row r="298" spans="1:10" x14ac:dyDescent="0.25">
      <c r="A298">
        <v>7.0330000000000004</v>
      </c>
      <c r="B298">
        <f t="shared" si="40"/>
        <v>293</v>
      </c>
      <c r="C298">
        <f t="shared" si="36"/>
        <v>1.1849666477439365</v>
      </c>
      <c r="D298">
        <f t="shared" si="37"/>
        <v>6.0657693874699579</v>
      </c>
      <c r="E298">
        <f t="shared" si="38"/>
        <v>0.93553505781524116</v>
      </c>
      <c r="F298">
        <f t="shared" si="39"/>
        <v>0.9672306125300425</v>
      </c>
      <c r="G298">
        <f t="shared" si="41"/>
        <v>-0.11750040475860979</v>
      </c>
      <c r="H298">
        <f t="shared" si="42"/>
        <v>5.9482689827113484</v>
      </c>
      <c r="I298">
        <f t="shared" si="43"/>
        <v>1.084731017288652</v>
      </c>
      <c r="J298">
        <f t="shared" si="44"/>
        <v>1.084731017288652</v>
      </c>
    </row>
    <row r="299" spans="1:10" x14ac:dyDescent="0.25">
      <c r="A299">
        <v>6.9160000000000004</v>
      </c>
      <c r="B299">
        <f t="shared" si="40"/>
        <v>294</v>
      </c>
      <c r="C299">
        <f t="shared" si="36"/>
        <v>1.2223868684429244</v>
      </c>
      <c r="D299">
        <f t="shared" si="37"/>
        <v>6.1031896081689467</v>
      </c>
      <c r="E299">
        <f t="shared" si="38"/>
        <v>0.660660733068551</v>
      </c>
      <c r="F299">
        <f t="shared" si="39"/>
        <v>0.81281039183105364</v>
      </c>
      <c r="G299">
        <f t="shared" si="41"/>
        <v>0.19460679924104454</v>
      </c>
      <c r="H299">
        <f t="shared" si="42"/>
        <v>6.297796407409991</v>
      </c>
      <c r="I299">
        <f t="shared" si="43"/>
        <v>0.61820359259000934</v>
      </c>
      <c r="J299">
        <f t="shared" si="44"/>
        <v>0.61820359259000934</v>
      </c>
    </row>
    <row r="300" spans="1:10" x14ac:dyDescent="0.25">
      <c r="A300">
        <v>6.9039999999999999</v>
      </c>
      <c r="B300">
        <f t="shared" si="40"/>
        <v>295</v>
      </c>
      <c r="C300">
        <f t="shared" si="36"/>
        <v>1.2594448695315215</v>
      </c>
      <c r="D300">
        <f t="shared" si="37"/>
        <v>6.1402476092575435</v>
      </c>
      <c r="E300">
        <f t="shared" si="38"/>
        <v>0.58331771436481772</v>
      </c>
      <c r="F300">
        <f t="shared" si="39"/>
        <v>0.76375239074245638</v>
      </c>
      <c r="G300">
        <f t="shared" si="41"/>
        <v>0.16353745083640797</v>
      </c>
      <c r="H300">
        <f t="shared" si="42"/>
        <v>6.3037850600939516</v>
      </c>
      <c r="I300">
        <f t="shared" si="43"/>
        <v>0.60021493990604835</v>
      </c>
      <c r="J300">
        <f t="shared" si="44"/>
        <v>0.60021493990604835</v>
      </c>
    </row>
    <row r="301" spans="1:10" x14ac:dyDescent="0.25">
      <c r="A301">
        <v>6.96</v>
      </c>
      <c r="B301">
        <f t="shared" si="40"/>
        <v>296</v>
      </c>
      <c r="C301">
        <f t="shared" si="36"/>
        <v>1.2961296699242317</v>
      </c>
      <c r="D301">
        <f t="shared" si="37"/>
        <v>6.176932409650254</v>
      </c>
      <c r="E301">
        <f t="shared" si="38"/>
        <v>0.61319485105615756</v>
      </c>
      <c r="F301">
        <f t="shared" si="39"/>
        <v>0.78306759034974593</v>
      </c>
      <c r="G301">
        <f t="shared" si="41"/>
        <v>0.15366698101738221</v>
      </c>
      <c r="H301">
        <f t="shared" si="42"/>
        <v>6.3305993906676363</v>
      </c>
      <c r="I301">
        <f t="shared" si="43"/>
        <v>0.62940060933236364</v>
      </c>
      <c r="J301">
        <f t="shared" si="44"/>
        <v>0.62940060933236364</v>
      </c>
    </row>
    <row r="302" spans="1:10" x14ac:dyDescent="0.25">
      <c r="A302">
        <v>7.0270000000000001</v>
      </c>
      <c r="B302">
        <f t="shared" si="40"/>
        <v>297</v>
      </c>
      <c r="C302">
        <f t="shared" si="36"/>
        <v>1.3324303991229742</v>
      </c>
      <c r="D302">
        <f t="shared" si="37"/>
        <v>6.2132331388489961</v>
      </c>
      <c r="E302">
        <f t="shared" si="38"/>
        <v>0.66221650430755752</v>
      </c>
      <c r="F302">
        <f t="shared" si="39"/>
        <v>0.81376686115100405</v>
      </c>
      <c r="G302">
        <f t="shared" si="41"/>
        <v>0.15755319917836888</v>
      </c>
      <c r="H302">
        <f t="shared" si="42"/>
        <v>6.370786338027365</v>
      </c>
      <c r="I302">
        <f t="shared" si="43"/>
        <v>0.65621366197263509</v>
      </c>
      <c r="J302">
        <f t="shared" si="44"/>
        <v>0.65621366197263509</v>
      </c>
    </row>
    <row r="303" spans="1:10" x14ac:dyDescent="0.25">
      <c r="A303">
        <v>6.9390000000000001</v>
      </c>
      <c r="B303">
        <f t="shared" si="40"/>
        <v>298</v>
      </c>
      <c r="C303">
        <f t="shared" si="36"/>
        <v>1.3683363004382518</v>
      </c>
      <c r="D303">
        <f t="shared" si="37"/>
        <v>6.2491390401642732</v>
      </c>
      <c r="E303">
        <f t="shared" si="38"/>
        <v>0.47590814390547032</v>
      </c>
      <c r="F303">
        <f t="shared" si="39"/>
        <v>0.68986095983572682</v>
      </c>
      <c r="G303">
        <f t="shared" si="41"/>
        <v>0.16372989246358199</v>
      </c>
      <c r="H303">
        <f t="shared" si="42"/>
        <v>6.4128689326278554</v>
      </c>
      <c r="I303">
        <f t="shared" si="43"/>
        <v>0.52613106737214466</v>
      </c>
      <c r="J303">
        <f t="shared" si="44"/>
        <v>0.52613106737214466</v>
      </c>
    </row>
    <row r="304" spans="1:10" x14ac:dyDescent="0.25">
      <c r="A304">
        <v>6.9710000000000001</v>
      </c>
      <c r="B304">
        <f t="shared" si="40"/>
        <v>299</v>
      </c>
      <c r="C304">
        <f t="shared" si="36"/>
        <v>1.4038367341765952</v>
      </c>
      <c r="D304">
        <f t="shared" si="37"/>
        <v>6.284639473902617</v>
      </c>
      <c r="E304">
        <f t="shared" si="38"/>
        <v>0.47109077178467645</v>
      </c>
      <c r="F304">
        <f t="shared" si="39"/>
        <v>0.68636052609738307</v>
      </c>
      <c r="G304">
        <f t="shared" si="41"/>
        <v>0.13880002511894823</v>
      </c>
      <c r="H304">
        <f t="shared" si="42"/>
        <v>6.4234394990215655</v>
      </c>
      <c r="I304">
        <f t="shared" si="43"/>
        <v>0.54756050097843456</v>
      </c>
      <c r="J304">
        <f t="shared" si="44"/>
        <v>0.54756050097843456</v>
      </c>
    </row>
    <row r="305" spans="1:10" x14ac:dyDescent="0.25">
      <c r="A305">
        <v>7.0419999999999998</v>
      </c>
      <c r="B305">
        <f t="shared" si="40"/>
        <v>300</v>
      </c>
      <c r="C305">
        <f t="shared" si="36"/>
        <v>1.4389211807933222</v>
      </c>
      <c r="D305">
        <f t="shared" si="37"/>
        <v>6.3197239205193441</v>
      </c>
      <c r="E305">
        <f t="shared" si="38"/>
        <v>0.52168273498994655</v>
      </c>
      <c r="F305">
        <f t="shared" si="39"/>
        <v>0.72227607948065575</v>
      </c>
      <c r="G305">
        <f t="shared" si="41"/>
        <v>0.13809573785079346</v>
      </c>
      <c r="H305">
        <f t="shared" si="42"/>
        <v>6.4578196583701377</v>
      </c>
      <c r="I305">
        <f t="shared" si="43"/>
        <v>0.5841803416298621</v>
      </c>
      <c r="J305">
        <f t="shared" si="44"/>
        <v>0.5841803416298621</v>
      </c>
    </row>
    <row r="306" spans="1:10" x14ac:dyDescent="0.25">
      <c r="A306">
        <v>6.9219999999999997</v>
      </c>
      <c r="B306">
        <f t="shared" si="40"/>
        <v>301</v>
      </c>
      <c r="C306">
        <f t="shared" si="36"/>
        <v>1.4735792440097193</v>
      </c>
      <c r="D306">
        <f t="shared" si="37"/>
        <v>6.3543819837357409</v>
      </c>
      <c r="E306">
        <f t="shared" si="38"/>
        <v>0.32219021238777235</v>
      </c>
      <c r="F306">
        <f t="shared" si="39"/>
        <v>0.56761801626425878</v>
      </c>
      <c r="G306">
        <f t="shared" si="41"/>
        <v>0.14532194719150793</v>
      </c>
      <c r="H306">
        <f t="shared" si="42"/>
        <v>6.4997039309272484</v>
      </c>
      <c r="I306">
        <f t="shared" si="43"/>
        <v>0.4222960690727513</v>
      </c>
      <c r="J306">
        <f t="shared" si="44"/>
        <v>0.4222960690727513</v>
      </c>
    </row>
    <row r="307" spans="1:10" x14ac:dyDescent="0.25">
      <c r="A307">
        <v>7.2939999999999996</v>
      </c>
      <c r="B307">
        <f t="shared" si="40"/>
        <v>302</v>
      </c>
      <c r="C307">
        <f t="shared" si="36"/>
        <v>1.5078006538936717</v>
      </c>
      <c r="D307">
        <f t="shared" si="37"/>
        <v>6.3886033936196931</v>
      </c>
      <c r="E307">
        <f t="shared" si="38"/>
        <v>0.81974301484497569</v>
      </c>
      <c r="F307">
        <f t="shared" si="39"/>
        <v>0.9053966063803065</v>
      </c>
      <c r="G307">
        <f t="shared" si="41"/>
        <v>0.11420474487236887</v>
      </c>
      <c r="H307">
        <f t="shared" si="42"/>
        <v>6.5028081384920622</v>
      </c>
      <c r="I307">
        <f t="shared" si="43"/>
        <v>0.79119186150793741</v>
      </c>
      <c r="J307">
        <f t="shared" si="44"/>
        <v>0.79119186150793741</v>
      </c>
    </row>
    <row r="308" spans="1:10" x14ac:dyDescent="0.25">
      <c r="A308">
        <v>7.15</v>
      </c>
      <c r="B308">
        <f t="shared" si="40"/>
        <v>303</v>
      </c>
      <c r="C308">
        <f t="shared" si="36"/>
        <v>1.5415752699028702</v>
      </c>
      <c r="D308">
        <f t="shared" si="37"/>
        <v>6.4223780096288916</v>
      </c>
      <c r="E308">
        <f t="shared" si="38"/>
        <v>0.52943376087161387</v>
      </c>
      <c r="F308">
        <f t="shared" si="39"/>
        <v>0.72762199037110875</v>
      </c>
      <c r="G308">
        <f t="shared" si="41"/>
        <v>0.18216579720371767</v>
      </c>
      <c r="H308">
        <f t="shared" si="42"/>
        <v>6.6045438068326092</v>
      </c>
      <c r="I308">
        <f t="shared" si="43"/>
        <v>0.54545619316739113</v>
      </c>
      <c r="J308">
        <f t="shared" si="44"/>
        <v>0.54545619316739113</v>
      </c>
    </row>
    <row r="309" spans="1:10" x14ac:dyDescent="0.25">
      <c r="A309">
        <v>7.4080000000000004</v>
      </c>
      <c r="B309">
        <f t="shared" si="40"/>
        <v>304</v>
      </c>
      <c r="C309">
        <f t="shared" si="36"/>
        <v>1.5748930838896795</v>
      </c>
      <c r="D309">
        <f t="shared" si="37"/>
        <v>6.4556958236157014</v>
      </c>
      <c r="E309">
        <f t="shared" si="38"/>
        <v>0.90688324435897805</v>
      </c>
      <c r="F309">
        <f t="shared" si="39"/>
        <v>0.95230417638429898</v>
      </c>
      <c r="G309">
        <f t="shared" si="41"/>
        <v>0.14639754446266706</v>
      </c>
      <c r="H309">
        <f t="shared" si="42"/>
        <v>6.6020933680783687</v>
      </c>
      <c r="I309">
        <f t="shared" si="43"/>
        <v>0.8059066319216317</v>
      </c>
      <c r="J309">
        <f t="shared" si="44"/>
        <v>0.8059066319216317</v>
      </c>
    </row>
    <row r="310" spans="1:10" x14ac:dyDescent="0.25">
      <c r="A310">
        <v>7.319</v>
      </c>
      <c r="B310">
        <f t="shared" si="40"/>
        <v>305</v>
      </c>
      <c r="C310">
        <f t="shared" si="36"/>
        <v>1.6077442230667538</v>
      </c>
      <c r="D310">
        <f t="shared" si="37"/>
        <v>6.4885469627927757</v>
      </c>
      <c r="E310">
        <f t="shared" si="38"/>
        <v>0.68965224700670347</v>
      </c>
      <c r="F310">
        <f t="shared" si="39"/>
        <v>0.8304530372072243</v>
      </c>
      <c r="G310">
        <f t="shared" si="41"/>
        <v>0.19160360028852094</v>
      </c>
      <c r="H310">
        <f t="shared" si="42"/>
        <v>6.6801505630812965</v>
      </c>
      <c r="I310">
        <f t="shared" si="43"/>
        <v>0.63884943691870344</v>
      </c>
      <c r="J310">
        <f t="shared" si="44"/>
        <v>0.63884943691870344</v>
      </c>
    </row>
    <row r="311" spans="1:10" x14ac:dyDescent="0.25">
      <c r="A311">
        <v>6.62</v>
      </c>
      <c r="B311">
        <f t="shared" si="40"/>
        <v>306</v>
      </c>
      <c r="C311">
        <f t="shared" si="36"/>
        <v>1.6401189529325726</v>
      </c>
      <c r="D311">
        <f t="shared" si="37"/>
        <v>6.5209216926585949</v>
      </c>
      <c r="E311">
        <f t="shared" si="38"/>
        <v>9.8165109856379502E-3</v>
      </c>
      <c r="F311">
        <f t="shared" si="39"/>
        <v>9.9078307341405214E-2</v>
      </c>
      <c r="G311">
        <f t="shared" si="41"/>
        <v>0.16708715108609351</v>
      </c>
      <c r="H311">
        <f t="shared" si="42"/>
        <v>6.6880088437446883</v>
      </c>
      <c r="I311">
        <f t="shared" si="43"/>
        <v>-6.8008843744688185E-2</v>
      </c>
      <c r="J311">
        <f t="shared" si="44"/>
        <v>6.8008843744688185E-2</v>
      </c>
    </row>
    <row r="312" spans="1:10" x14ac:dyDescent="0.25">
      <c r="A312">
        <v>5.1379999999999999</v>
      </c>
      <c r="B312">
        <f t="shared" si="40"/>
        <v>307</v>
      </c>
      <c r="C312">
        <f t="shared" si="36"/>
        <v>1.6720076801559722</v>
      </c>
      <c r="D312">
        <f t="shared" si="37"/>
        <v>6.5528104198819941</v>
      </c>
      <c r="E312">
        <f t="shared" si="38"/>
        <v>2.0016885242066649</v>
      </c>
      <c r="F312">
        <f t="shared" si="39"/>
        <v>-1.4148104198819942</v>
      </c>
      <c r="G312">
        <f t="shared" si="41"/>
        <v>1.9934555437090728E-2</v>
      </c>
      <c r="H312">
        <f t="shared" si="42"/>
        <v>6.5727449753190852</v>
      </c>
      <c r="I312">
        <f t="shared" si="43"/>
        <v>-1.4347449753190853</v>
      </c>
      <c r="J312">
        <f t="shared" si="44"/>
        <v>1.4347449753190853</v>
      </c>
    </row>
    <row r="313" spans="1:10" x14ac:dyDescent="0.25">
      <c r="A313">
        <v>7.3209999999999997</v>
      </c>
      <c r="B313">
        <f t="shared" si="40"/>
        <v>308</v>
      </c>
      <c r="C313">
        <f t="shared" si="36"/>
        <v>1.7034009554188585</v>
      </c>
      <c r="D313">
        <f t="shared" si="37"/>
        <v>6.5842036951448808</v>
      </c>
      <c r="E313">
        <f t="shared" si="38"/>
        <v>0.54286879484815731</v>
      </c>
      <c r="F313">
        <f t="shared" si="39"/>
        <v>0.73679630485511893</v>
      </c>
      <c r="G313">
        <f t="shared" si="41"/>
        <v>-0.28465985648025721</v>
      </c>
      <c r="H313">
        <f t="shared" si="42"/>
        <v>6.2995438386646239</v>
      </c>
      <c r="I313">
        <f t="shared" si="43"/>
        <v>1.0214561613353759</v>
      </c>
      <c r="J313">
        <f t="shared" si="44"/>
        <v>1.0214561613353759</v>
      </c>
    </row>
    <row r="314" spans="1:10" x14ac:dyDescent="0.25">
      <c r="A314">
        <v>6.6189999999999998</v>
      </c>
      <c r="B314">
        <f t="shared" si="40"/>
        <v>309</v>
      </c>
      <c r="C314">
        <f t="shared" si="36"/>
        <v>1.7342894762162522</v>
      </c>
      <c r="D314">
        <f t="shared" si="37"/>
        <v>6.6150922159422745</v>
      </c>
      <c r="E314">
        <f t="shared" si="38"/>
        <v>1.5270776241811966E-5</v>
      </c>
      <c r="F314">
        <f t="shared" si="39"/>
        <v>3.9077840577252942E-3</v>
      </c>
      <c r="G314">
        <f t="shared" si="41"/>
        <v>0.14824341653684991</v>
      </c>
      <c r="H314">
        <f t="shared" si="42"/>
        <v>6.7633356324791247</v>
      </c>
      <c r="I314">
        <f t="shared" si="43"/>
        <v>-0.14433563247912495</v>
      </c>
      <c r="J314">
        <f t="shared" si="44"/>
        <v>0.14433563247912495</v>
      </c>
    </row>
    <row r="315" spans="1:10" x14ac:dyDescent="0.25">
      <c r="A315">
        <v>6.2329999999999997</v>
      </c>
      <c r="B315">
        <f t="shared" si="40"/>
        <v>310</v>
      </c>
      <c r="C315">
        <f t="shared" si="36"/>
        <v>1.7646640896128092</v>
      </c>
      <c r="D315">
        <f t="shared" si="37"/>
        <v>6.6454668293388313</v>
      </c>
      <c r="E315">
        <f t="shared" si="38"/>
        <v>0.17012888530482884</v>
      </c>
      <c r="F315">
        <f t="shared" si="39"/>
        <v>-0.41246682933883161</v>
      </c>
      <c r="G315">
        <f t="shared" si="41"/>
        <v>7.862461524143292E-4</v>
      </c>
      <c r="H315">
        <f t="shared" si="42"/>
        <v>6.6462530754912459</v>
      </c>
      <c r="I315">
        <f t="shared" si="43"/>
        <v>-0.41325307549124624</v>
      </c>
      <c r="J315">
        <f t="shared" si="44"/>
        <v>0.41325307549124624</v>
      </c>
    </row>
    <row r="316" spans="1:10" x14ac:dyDescent="0.25">
      <c r="A316">
        <v>7.1390000000000002</v>
      </c>
      <c r="B316">
        <f t="shared" si="40"/>
        <v>311</v>
      </c>
      <c r="C316">
        <f t="shared" si="36"/>
        <v>1.7945157949550454</v>
      </c>
      <c r="D316">
        <f t="shared" si="37"/>
        <v>6.6753185346810673</v>
      </c>
      <c r="E316">
        <f t="shared" si="38"/>
        <v>0.21500050128031281</v>
      </c>
      <c r="F316">
        <f t="shared" si="39"/>
        <v>0.46368146531893295</v>
      </c>
      <c r="G316">
        <f t="shared" si="41"/>
        <v>-8.298832606297292E-2</v>
      </c>
      <c r="H316">
        <f t="shared" si="42"/>
        <v>6.5923302086180939</v>
      </c>
      <c r="I316">
        <f t="shared" si="43"/>
        <v>0.5466697913819063</v>
      </c>
      <c r="J316">
        <f t="shared" si="44"/>
        <v>0.5466697913819063</v>
      </c>
    </row>
    <row r="317" spans="1:10" x14ac:dyDescent="0.25">
      <c r="A317">
        <v>5.351</v>
      </c>
      <c r="B317">
        <f t="shared" si="40"/>
        <v>312</v>
      </c>
      <c r="C317">
        <f t="shared" si="36"/>
        <v>1.8238357465384134</v>
      </c>
      <c r="D317">
        <f t="shared" si="37"/>
        <v>6.704638486264435</v>
      </c>
      <c r="E317">
        <f t="shared" si="38"/>
        <v>1.8323371514962712</v>
      </c>
      <c r="F317">
        <f t="shared" si="39"/>
        <v>-1.3536384862644351</v>
      </c>
      <c r="G317">
        <f t="shared" si="41"/>
        <v>9.3292710822169306E-2</v>
      </c>
      <c r="H317">
        <f t="shared" si="42"/>
        <v>6.7979311970866041</v>
      </c>
      <c r="I317">
        <f t="shared" si="43"/>
        <v>-1.4469311970866041</v>
      </c>
      <c r="J317">
        <f t="shared" si="44"/>
        <v>1.4469311970866041</v>
      </c>
    </row>
    <row r="318" spans="1:10" x14ac:dyDescent="0.25">
      <c r="A318">
        <v>6.5449999999999999</v>
      </c>
      <c r="B318">
        <f t="shared" si="40"/>
        <v>313</v>
      </c>
      <c r="C318">
        <f t="shared" si="36"/>
        <v>1.8526152562284814</v>
      </c>
      <c r="D318">
        <f t="shared" si="37"/>
        <v>6.7334179959545031</v>
      </c>
      <c r="E318">
        <f t="shared" si="38"/>
        <v>3.5501341199511163E-2</v>
      </c>
      <c r="F318">
        <f t="shared" si="39"/>
        <v>-0.18841799595450315</v>
      </c>
      <c r="G318">
        <f t="shared" si="41"/>
        <v>-0.27235206343640433</v>
      </c>
      <c r="H318">
        <f t="shared" si="42"/>
        <v>6.4610659325180988</v>
      </c>
      <c r="I318">
        <f t="shared" si="43"/>
        <v>8.3934067481901131E-2</v>
      </c>
      <c r="J318">
        <f t="shared" si="44"/>
        <v>8.3934067481901131E-2</v>
      </c>
    </row>
    <row r="319" spans="1:10" x14ac:dyDescent="0.25">
      <c r="A319">
        <v>7.468</v>
      </c>
      <c r="B319">
        <f t="shared" si="40"/>
        <v>314</v>
      </c>
      <c r="C319">
        <f t="shared" si="36"/>
        <v>1.8808457960354188</v>
      </c>
      <c r="D319">
        <f t="shared" si="37"/>
        <v>6.7616485357614406</v>
      </c>
      <c r="E319">
        <f t="shared" si="38"/>
        <v>0.49893239103195675</v>
      </c>
      <c r="F319">
        <f t="shared" si="39"/>
        <v>0.70635146423855932</v>
      </c>
      <c r="G319">
        <f t="shared" si="41"/>
        <v>-3.7909700786046031E-2</v>
      </c>
      <c r="H319">
        <f t="shared" si="42"/>
        <v>6.7237388349753946</v>
      </c>
      <c r="I319">
        <f t="shared" si="43"/>
        <v>0.74426116502460538</v>
      </c>
      <c r="J319">
        <f t="shared" si="44"/>
        <v>0.74426116502460538</v>
      </c>
    </row>
    <row r="320" spans="1:10" x14ac:dyDescent="0.25">
      <c r="A320">
        <v>7.5519999999999996</v>
      </c>
      <c r="B320">
        <f t="shared" si="40"/>
        <v>315</v>
      </c>
      <c r="C320">
        <f t="shared" si="36"/>
        <v>1.9085190006410122</v>
      </c>
      <c r="D320">
        <f t="shared" si="37"/>
        <v>6.7893217403670345</v>
      </c>
      <c r="E320">
        <f t="shared" si="38"/>
        <v>0.58167812771676852</v>
      </c>
      <c r="F320">
        <f t="shared" si="39"/>
        <v>0.76267825963296509</v>
      </c>
      <c r="G320">
        <f t="shared" si="41"/>
        <v>0.14211791460479814</v>
      </c>
      <c r="H320">
        <f t="shared" si="42"/>
        <v>6.9314396549718325</v>
      </c>
      <c r="I320">
        <f t="shared" si="43"/>
        <v>0.62056034502816715</v>
      </c>
      <c r="J320">
        <f t="shared" si="44"/>
        <v>0.62056034502816715</v>
      </c>
    </row>
    <row r="321" spans="1:10" x14ac:dyDescent="0.25">
      <c r="A321">
        <v>7.4470000000000001</v>
      </c>
      <c r="B321">
        <f t="shared" si="40"/>
        <v>316</v>
      </c>
      <c r="C321">
        <f t="shared" si="36"/>
        <v>1.9356266698775038</v>
      </c>
      <c r="D321">
        <f t="shared" si="37"/>
        <v>6.8164294096035256</v>
      </c>
      <c r="E321">
        <f t="shared" si="38"/>
        <v>0.39761926947295834</v>
      </c>
      <c r="F321">
        <f t="shared" si="39"/>
        <v>0.63057059039647445</v>
      </c>
      <c r="G321">
        <f t="shared" si="41"/>
        <v>0.15345086583815257</v>
      </c>
      <c r="H321">
        <f t="shared" si="42"/>
        <v>6.9698802754416782</v>
      </c>
      <c r="I321">
        <f t="shared" si="43"/>
        <v>0.47711972455832186</v>
      </c>
      <c r="J321">
        <f t="shared" si="44"/>
        <v>0.47711972455832186</v>
      </c>
    </row>
    <row r="322" spans="1:10" x14ac:dyDescent="0.25">
      <c r="A322">
        <v>5.3449999999999998</v>
      </c>
      <c r="B322">
        <f t="shared" si="40"/>
        <v>317</v>
      </c>
      <c r="C322">
        <f t="shared" si="36"/>
        <v>1.962160771157466</v>
      </c>
      <c r="D322">
        <f t="shared" si="37"/>
        <v>6.8429635108834876</v>
      </c>
      <c r="E322">
        <f t="shared" si="38"/>
        <v>2.2438946799383852</v>
      </c>
      <c r="F322">
        <f t="shared" si="39"/>
        <v>-1.4979635108834879</v>
      </c>
      <c r="G322">
        <f t="shared" si="41"/>
        <v>0.12687080278777066</v>
      </c>
      <c r="H322">
        <f t="shared" si="42"/>
        <v>6.9698343136712584</v>
      </c>
      <c r="I322">
        <f t="shared" si="43"/>
        <v>-1.6248343136712586</v>
      </c>
      <c r="J322">
        <f t="shared" si="44"/>
        <v>1.6248343136712586</v>
      </c>
    </row>
    <row r="323" spans="1:10" x14ac:dyDescent="0.25">
      <c r="A323">
        <v>7.5970000000000004</v>
      </c>
      <c r="B323">
        <f t="shared" si="40"/>
        <v>318</v>
      </c>
      <c r="C323">
        <f t="shared" si="36"/>
        <v>1.9881134418540352</v>
      </c>
      <c r="D323">
        <f t="shared" si="37"/>
        <v>6.8689161815800572</v>
      </c>
      <c r="E323">
        <f t="shared" si="38"/>
        <v>0.53010604664496475</v>
      </c>
      <c r="F323">
        <f t="shared" si="39"/>
        <v>0.72808381841994319</v>
      </c>
      <c r="G323">
        <f t="shared" si="41"/>
        <v>-0.30139025838975775</v>
      </c>
      <c r="H323">
        <f t="shared" si="42"/>
        <v>6.5675259231902992</v>
      </c>
      <c r="I323">
        <f t="shared" si="43"/>
        <v>1.0294740768097013</v>
      </c>
      <c r="J323">
        <f t="shared" si="44"/>
        <v>1.0294740768097013</v>
      </c>
    </row>
    <row r="324" spans="1:10" x14ac:dyDescent="0.25">
      <c r="A324">
        <v>7.0270000000000001</v>
      </c>
      <c r="B324">
        <f t="shared" si="40"/>
        <v>319</v>
      </c>
      <c r="C324">
        <f t="shared" si="36"/>
        <v>2.0134769916307822</v>
      </c>
      <c r="D324">
        <f t="shared" si="37"/>
        <v>6.8942797313568036</v>
      </c>
      <c r="E324">
        <f t="shared" si="38"/>
        <v>1.7614669708722254E-2</v>
      </c>
      <c r="F324">
        <f t="shared" si="39"/>
        <v>0.13272026864319653</v>
      </c>
      <c r="G324">
        <f t="shared" si="41"/>
        <v>0.14649046426609255</v>
      </c>
      <c r="H324">
        <f t="shared" si="42"/>
        <v>7.0407701956228959</v>
      </c>
      <c r="I324">
        <f t="shared" si="43"/>
        <v>-1.377019562289572E-2</v>
      </c>
      <c r="J324">
        <f t="shared" si="44"/>
        <v>1.377019562289572E-2</v>
      </c>
    </row>
    <row r="325" spans="1:10" x14ac:dyDescent="0.25">
      <c r="A325">
        <v>4.8140000000000001</v>
      </c>
      <c r="B325">
        <f t="shared" si="40"/>
        <v>320</v>
      </c>
      <c r="C325">
        <f t="shared" si="36"/>
        <v>2.038243904720515</v>
      </c>
      <c r="D325">
        <f t="shared" si="37"/>
        <v>6.9190466444465368</v>
      </c>
      <c r="E325">
        <f t="shared" si="38"/>
        <v>4.4312213752956247</v>
      </c>
      <c r="F325">
        <f t="shared" si="39"/>
        <v>-2.1050466444465368</v>
      </c>
      <c r="G325">
        <f t="shared" si="41"/>
        <v>2.670331805101114E-2</v>
      </c>
      <c r="H325">
        <f t="shared" si="42"/>
        <v>6.9457499624975476</v>
      </c>
      <c r="I325">
        <f t="shared" si="43"/>
        <v>-2.1317499624975476</v>
      </c>
      <c r="J325">
        <f t="shared" si="44"/>
        <v>2.1317499624975476</v>
      </c>
    </row>
    <row r="326" spans="1:10" x14ac:dyDescent="0.25">
      <c r="A326">
        <v>7.258</v>
      </c>
      <c r="B326">
        <f t="shared" si="40"/>
        <v>321</v>
      </c>
      <c r="C326">
        <f t="shared" si="36"/>
        <v>2.0624068421523742</v>
      </c>
      <c r="D326">
        <f t="shared" si="37"/>
        <v>6.9432095818783957</v>
      </c>
      <c r="E326">
        <f t="shared" si="38"/>
        <v>9.9093007341174488E-2</v>
      </c>
      <c r="F326">
        <f t="shared" si="39"/>
        <v>0.31479041812160435</v>
      </c>
      <c r="G326">
        <f t="shared" si="41"/>
        <v>-0.42353538486264319</v>
      </c>
      <c r="H326">
        <f t="shared" si="42"/>
        <v>6.5196741970157523</v>
      </c>
      <c r="I326">
        <f t="shared" si="43"/>
        <v>0.73832580298424766</v>
      </c>
      <c r="J326">
        <f t="shared" si="44"/>
        <v>0.73832580298424766</v>
      </c>
    </row>
    <row r="327" spans="1:10" x14ac:dyDescent="0.25">
      <c r="A327">
        <v>6.77</v>
      </c>
      <c r="B327">
        <f t="shared" si="40"/>
        <v>322</v>
      </c>
      <c r="C327">
        <f t="shared" ref="C327:C370" si="45">C$2*COS(C$1*B327)+C$3*SIN(C$1*B327)</f>
        <v>2.085958643926519</v>
      </c>
      <c r="D327">
        <f t="shared" ref="D327:D370" si="46">$A$2+C327</f>
        <v>6.9667613836525408</v>
      </c>
      <c r="E327">
        <f t="shared" ref="E327:E370" si="47">(A327-D327)^2</f>
        <v>3.871504209686253E-2</v>
      </c>
      <c r="F327">
        <f t="shared" ref="F327:F370" si="48">A327-D327</f>
        <v>-0.19676138365254126</v>
      </c>
      <c r="G327">
        <f t="shared" si="41"/>
        <v>6.3335832126066791E-2</v>
      </c>
      <c r="H327">
        <f t="shared" si="42"/>
        <v>7.0300972157786079</v>
      </c>
      <c r="I327">
        <f t="shared" si="43"/>
        <v>-0.26009721577860834</v>
      </c>
      <c r="J327">
        <f t="shared" si="44"/>
        <v>0.26009721577860834</v>
      </c>
    </row>
    <row r="328" spans="1:10" x14ac:dyDescent="0.25">
      <c r="A328">
        <v>7.4269999999999996</v>
      </c>
      <c r="B328">
        <f t="shared" ref="B328:B370" si="49">B327+1</f>
        <v>323</v>
      </c>
      <c r="C328">
        <f t="shared" si="45"/>
        <v>2.1088923311357921</v>
      </c>
      <c r="D328">
        <f t="shared" si="46"/>
        <v>6.9896950708618135</v>
      </c>
      <c r="E328">
        <f t="shared" si="47"/>
        <v>0.19123560104855394</v>
      </c>
      <c r="F328">
        <f t="shared" si="48"/>
        <v>0.43730492913818608</v>
      </c>
      <c r="G328">
        <f t="shared" ref="G328:G370" si="50">$H$1*F327</f>
        <v>-3.95883903908913E-2</v>
      </c>
      <c r="H328">
        <f t="shared" ref="H328:H370" si="51">D328+G328</f>
        <v>6.9501066804709222</v>
      </c>
      <c r="I328">
        <f t="shared" ref="I328:I370" si="52">A328-H328</f>
        <v>0.47689331952907743</v>
      </c>
      <c r="J328">
        <f t="shared" ref="J328:J370" si="53">ABS(I328)</f>
        <v>0.47689331952907743</v>
      </c>
    </row>
    <row r="329" spans="1:10" x14ac:dyDescent="0.25">
      <c r="A329">
        <v>4.5069999999999997</v>
      </c>
      <c r="B329">
        <f t="shared" si="49"/>
        <v>324</v>
      </c>
      <c r="C329">
        <f t="shared" si="45"/>
        <v>2.1312011080337268</v>
      </c>
      <c r="D329">
        <f t="shared" si="46"/>
        <v>7.0120038477597486</v>
      </c>
      <c r="E329">
        <f t="shared" si="47"/>
        <v>6.2750442772911477</v>
      </c>
      <c r="F329">
        <f t="shared" si="48"/>
        <v>-2.5050038477597489</v>
      </c>
      <c r="G329">
        <f t="shared" si="50"/>
        <v>8.7985751742603036E-2</v>
      </c>
      <c r="H329">
        <f t="shared" si="51"/>
        <v>7.0999895995023516</v>
      </c>
      <c r="I329">
        <f t="shared" si="52"/>
        <v>-2.592989599502352</v>
      </c>
      <c r="J329">
        <f t="shared" si="53"/>
        <v>2.592989599502352</v>
      </c>
    </row>
    <row r="330" spans="1:10" x14ac:dyDescent="0.25">
      <c r="A330">
        <v>7.4829999999999997</v>
      </c>
      <c r="B330">
        <f t="shared" si="49"/>
        <v>325</v>
      </c>
      <c r="C330">
        <f t="shared" si="45"/>
        <v>2.1528783640482638</v>
      </c>
      <c r="D330">
        <f t="shared" si="46"/>
        <v>7.0336811037742857</v>
      </c>
      <c r="E330">
        <f t="shared" si="47"/>
        <v>0.20188747050549391</v>
      </c>
      <c r="F330">
        <f t="shared" si="48"/>
        <v>0.44931889622571397</v>
      </c>
      <c r="G330">
        <f t="shared" si="50"/>
        <v>-0.50400677416926143</v>
      </c>
      <c r="H330">
        <f t="shared" si="51"/>
        <v>6.5296743296050241</v>
      </c>
      <c r="I330">
        <f t="shared" si="52"/>
        <v>0.95332567039497551</v>
      </c>
      <c r="J330">
        <f t="shared" si="53"/>
        <v>0.95332567039497551</v>
      </c>
    </row>
    <row r="331" spans="1:10" x14ac:dyDescent="0.25">
      <c r="A331">
        <v>6.6559999999999997</v>
      </c>
      <c r="B331">
        <f t="shared" si="49"/>
        <v>326</v>
      </c>
      <c r="C331">
        <f t="shared" si="45"/>
        <v>2.1739176757406127</v>
      </c>
      <c r="D331">
        <f t="shared" si="46"/>
        <v>7.054720415466635</v>
      </c>
      <c r="E331">
        <f t="shared" si="47"/>
        <v>0.15897796970988626</v>
      </c>
      <c r="F331">
        <f t="shared" si="48"/>
        <v>-0.39872041546663528</v>
      </c>
      <c r="G331">
        <f t="shared" si="50"/>
        <v>9.0402961920613645E-2</v>
      </c>
      <c r="H331">
        <f t="shared" si="51"/>
        <v>7.1451233773872485</v>
      </c>
      <c r="I331">
        <f t="shared" si="52"/>
        <v>-0.48912337738724876</v>
      </c>
      <c r="J331">
        <f t="shared" si="53"/>
        <v>0.48912337738724876</v>
      </c>
    </row>
    <row r="332" spans="1:10" x14ac:dyDescent="0.25">
      <c r="A332">
        <v>6.95</v>
      </c>
      <c r="B332">
        <f t="shared" si="49"/>
        <v>327</v>
      </c>
      <c r="C332">
        <f t="shared" si="45"/>
        <v>2.1943128087086539</v>
      </c>
      <c r="D332">
        <f t="shared" si="46"/>
        <v>7.0751155484346757</v>
      </c>
      <c r="E332">
        <f t="shared" si="47"/>
        <v>1.565390046010964E-2</v>
      </c>
      <c r="F332">
        <f t="shared" si="48"/>
        <v>-0.12511554843467554</v>
      </c>
      <c r="G332">
        <f t="shared" si="50"/>
        <v>-8.0222547591887017E-2</v>
      </c>
      <c r="H332">
        <f t="shared" si="51"/>
        <v>6.9948930008427883</v>
      </c>
      <c r="I332">
        <f t="shared" si="52"/>
        <v>-4.4893000842788133E-2</v>
      </c>
      <c r="J332">
        <f t="shared" si="53"/>
        <v>4.4893000842788133E-2</v>
      </c>
    </row>
    <row r="333" spans="1:10" x14ac:dyDescent="0.25">
      <c r="A333">
        <v>8.0220000000000002</v>
      </c>
      <c r="B333">
        <f t="shared" si="49"/>
        <v>328</v>
      </c>
      <c r="C333">
        <f t="shared" si="45"/>
        <v>2.2140577194343249</v>
      </c>
      <c r="D333">
        <f t="shared" si="46"/>
        <v>7.0948604591603468</v>
      </c>
      <c r="E333">
        <f t="shared" si="47"/>
        <v>0.85958772818836338</v>
      </c>
      <c r="F333">
        <f t="shared" si="48"/>
        <v>0.92713954083965344</v>
      </c>
      <c r="G333">
        <f t="shared" si="50"/>
        <v>-2.5173248345056718E-2</v>
      </c>
      <c r="H333">
        <f t="shared" si="51"/>
        <v>7.0696872108152897</v>
      </c>
      <c r="I333">
        <f t="shared" si="52"/>
        <v>0.95231278918471052</v>
      </c>
      <c r="J333">
        <f t="shared" si="53"/>
        <v>0.95231278918471052</v>
      </c>
    </row>
    <row r="334" spans="1:10" x14ac:dyDescent="0.25">
      <c r="A334">
        <v>7.5220000000000002</v>
      </c>
      <c r="B334">
        <f t="shared" si="49"/>
        <v>329</v>
      </c>
      <c r="C334">
        <f t="shared" si="45"/>
        <v>2.2331465570744493</v>
      </c>
      <c r="D334">
        <f t="shared" si="46"/>
        <v>7.1139492968004712</v>
      </c>
      <c r="E334">
        <f t="shared" si="47"/>
        <v>0.16650537638163015</v>
      </c>
      <c r="F334">
        <f t="shared" si="48"/>
        <v>0.40805070319952907</v>
      </c>
      <c r="G334">
        <f t="shared" si="50"/>
        <v>0.18654047561693826</v>
      </c>
      <c r="H334">
        <f t="shared" si="51"/>
        <v>7.3004897724174098</v>
      </c>
      <c r="I334">
        <f t="shared" si="52"/>
        <v>0.22151022758259042</v>
      </c>
      <c r="J334">
        <f t="shared" si="53"/>
        <v>0.22151022758259042</v>
      </c>
    </row>
    <row r="335" spans="1:10" x14ac:dyDescent="0.25">
      <c r="A335">
        <v>8.0739999999999998</v>
      </c>
      <c r="B335">
        <f t="shared" si="49"/>
        <v>330</v>
      </c>
      <c r="C335">
        <f t="shared" si="45"/>
        <v>2.2515736651944631</v>
      </c>
      <c r="D335">
        <f t="shared" si="46"/>
        <v>7.1323764049204854</v>
      </c>
      <c r="E335">
        <f t="shared" si="47"/>
        <v>0.88665499481046939</v>
      </c>
      <c r="F335">
        <f t="shared" si="48"/>
        <v>0.94162359507951443</v>
      </c>
      <c r="G335">
        <f t="shared" si="50"/>
        <v>8.2099801483745252E-2</v>
      </c>
      <c r="H335">
        <f t="shared" si="51"/>
        <v>7.2144762064042309</v>
      </c>
      <c r="I335">
        <f t="shared" si="52"/>
        <v>0.85952379359576891</v>
      </c>
      <c r="J335">
        <f t="shared" si="53"/>
        <v>0.85952379359576891</v>
      </c>
    </row>
    <row r="336" spans="1:10" x14ac:dyDescent="0.25">
      <c r="A336">
        <v>7.9630000000000001</v>
      </c>
      <c r="B336">
        <f t="shared" si="49"/>
        <v>331</v>
      </c>
      <c r="C336">
        <f t="shared" si="45"/>
        <v>2.2693335834445389</v>
      </c>
      <c r="D336">
        <f t="shared" si="46"/>
        <v>7.1501363231705604</v>
      </c>
      <c r="E336">
        <f t="shared" si="47"/>
        <v>0.66074735710867583</v>
      </c>
      <c r="F336">
        <f t="shared" si="48"/>
        <v>0.81286367682943972</v>
      </c>
      <c r="G336">
        <f t="shared" si="50"/>
        <v>0.1894546673299983</v>
      </c>
      <c r="H336">
        <f t="shared" si="51"/>
        <v>7.3395909905005583</v>
      </c>
      <c r="I336">
        <f t="shared" si="52"/>
        <v>0.62340900949944178</v>
      </c>
      <c r="J336">
        <f t="shared" si="53"/>
        <v>0.62340900949944178</v>
      </c>
    </row>
    <row r="337" spans="1:10" x14ac:dyDescent="0.25">
      <c r="A337">
        <v>6.0140000000000002</v>
      </c>
      <c r="B337">
        <f t="shared" si="49"/>
        <v>332</v>
      </c>
      <c r="C337">
        <f t="shared" si="45"/>
        <v>2.2864210491776111</v>
      </c>
      <c r="D337">
        <f t="shared" si="46"/>
        <v>7.167223788903633</v>
      </c>
      <c r="E337">
        <f t="shared" si="47"/>
        <v>1.3299251072932505</v>
      </c>
      <c r="F337">
        <f t="shared" si="48"/>
        <v>-1.1532237889036328</v>
      </c>
      <c r="G337">
        <f t="shared" si="50"/>
        <v>0.16354817177808326</v>
      </c>
      <c r="H337">
        <f t="shared" si="51"/>
        <v>7.3307719606817159</v>
      </c>
      <c r="I337">
        <f t="shared" si="52"/>
        <v>-1.3167719606817156</v>
      </c>
      <c r="J337">
        <f t="shared" si="53"/>
        <v>1.3167719606817156</v>
      </c>
    </row>
    <row r="338" spans="1:10" x14ac:dyDescent="0.25">
      <c r="A338">
        <v>6.657</v>
      </c>
      <c r="B338">
        <f t="shared" si="49"/>
        <v>333</v>
      </c>
      <c r="C338">
        <f t="shared" si="45"/>
        <v>2.3028309990088038</v>
      </c>
      <c r="D338">
        <f t="shared" si="46"/>
        <v>7.1836337387348257</v>
      </c>
      <c r="E338">
        <f t="shared" si="47"/>
        <v>0.27734309477382063</v>
      </c>
      <c r="F338">
        <f t="shared" si="48"/>
        <v>-0.52663373873482566</v>
      </c>
      <c r="G338">
        <f t="shared" si="50"/>
        <v>-0.23202862632741089</v>
      </c>
      <c r="H338">
        <f t="shared" si="51"/>
        <v>6.9516051124074147</v>
      </c>
      <c r="I338">
        <f t="shared" si="52"/>
        <v>-0.29460511240741472</v>
      </c>
      <c r="J338">
        <f t="shared" si="53"/>
        <v>0.29460511240741472</v>
      </c>
    </row>
    <row r="339" spans="1:10" x14ac:dyDescent="0.25">
      <c r="A339">
        <v>7.7460000000000004</v>
      </c>
      <c r="B339">
        <f t="shared" si="49"/>
        <v>334</v>
      </c>
      <c r="C339">
        <f t="shared" si="45"/>
        <v>2.3185585703158273</v>
      </c>
      <c r="D339">
        <f t="shared" si="46"/>
        <v>7.1993613100418496</v>
      </c>
      <c r="E339">
        <f t="shared" si="47"/>
        <v>0.29881385735916333</v>
      </c>
      <c r="F339">
        <f t="shared" si="48"/>
        <v>0.54663868995815079</v>
      </c>
      <c r="G339">
        <f t="shared" si="50"/>
        <v>-0.10595870823344691</v>
      </c>
      <c r="H339">
        <f t="shared" si="51"/>
        <v>7.0934026018084024</v>
      </c>
      <c r="I339">
        <f t="shared" si="52"/>
        <v>0.65259739819159801</v>
      </c>
      <c r="J339">
        <f t="shared" si="53"/>
        <v>0.65259739819159801</v>
      </c>
    </row>
    <row r="340" spans="1:10" x14ac:dyDescent="0.25">
      <c r="A340">
        <v>7.9960000000000004</v>
      </c>
      <c r="B340">
        <f t="shared" si="49"/>
        <v>335</v>
      </c>
      <c r="C340">
        <f t="shared" si="45"/>
        <v>2.3335991026798739</v>
      </c>
      <c r="D340">
        <f t="shared" si="46"/>
        <v>7.2144018424058958</v>
      </c>
      <c r="E340">
        <f t="shared" si="47"/>
        <v>0.61089567995449889</v>
      </c>
      <c r="F340">
        <f t="shared" si="48"/>
        <v>0.78159815759410467</v>
      </c>
      <c r="G340">
        <f t="shared" si="50"/>
        <v>0.10998370441957993</v>
      </c>
      <c r="H340">
        <f t="shared" si="51"/>
        <v>7.3243855468254759</v>
      </c>
      <c r="I340">
        <f t="shared" si="52"/>
        <v>0.67161445317452451</v>
      </c>
      <c r="J340">
        <f t="shared" si="53"/>
        <v>0.67161445317452451</v>
      </c>
    </row>
    <row r="341" spans="1:10" x14ac:dyDescent="0.25">
      <c r="A341">
        <v>8.1720000000000006</v>
      </c>
      <c r="B341">
        <f t="shared" si="49"/>
        <v>336</v>
      </c>
      <c r="C341">
        <f t="shared" si="45"/>
        <v>2.3479481392666028</v>
      </c>
      <c r="D341">
        <f t="shared" si="46"/>
        <v>7.2287508789926243</v>
      </c>
      <c r="E341">
        <f t="shared" si="47"/>
        <v>0.88971890428118805</v>
      </c>
      <c r="F341">
        <f t="shared" si="48"/>
        <v>0.94324912100737635</v>
      </c>
      <c r="G341">
        <f t="shared" si="50"/>
        <v>0.15725754930793384</v>
      </c>
      <c r="H341">
        <f t="shared" si="51"/>
        <v>7.386008428300558</v>
      </c>
      <c r="I341">
        <f t="shared" si="52"/>
        <v>0.78599157169944256</v>
      </c>
      <c r="J341">
        <f t="shared" si="53"/>
        <v>0.78599157169944256</v>
      </c>
    </row>
    <row r="342" spans="1:10" x14ac:dyDescent="0.25">
      <c r="A342">
        <v>7.1760000000000002</v>
      </c>
      <c r="B342">
        <f t="shared" si="49"/>
        <v>337</v>
      </c>
      <c r="C342">
        <f t="shared" si="45"/>
        <v>2.3616014281467965</v>
      </c>
      <c r="D342">
        <f t="shared" si="46"/>
        <v>7.2424041678728184</v>
      </c>
      <c r="E342">
        <f t="shared" si="47"/>
        <v>4.4095135108814234E-3</v>
      </c>
      <c r="F342">
        <f t="shared" si="48"/>
        <v>-6.6404167872818221E-2</v>
      </c>
      <c r="G342">
        <f t="shared" si="50"/>
        <v>0.18978172314668412</v>
      </c>
      <c r="H342">
        <f t="shared" si="51"/>
        <v>7.4321858910195022</v>
      </c>
      <c r="I342">
        <f t="shared" si="52"/>
        <v>-0.25618589101950207</v>
      </c>
      <c r="J342">
        <f t="shared" si="53"/>
        <v>0.25618589101950207</v>
      </c>
    </row>
    <row r="343" spans="1:10" x14ac:dyDescent="0.25">
      <c r="A343">
        <v>6.673</v>
      </c>
      <c r="B343">
        <f t="shared" si="49"/>
        <v>338</v>
      </c>
      <c r="C343">
        <f t="shared" si="45"/>
        <v>2.3745549235562962</v>
      </c>
      <c r="D343">
        <f t="shared" si="46"/>
        <v>7.255357663282318</v>
      </c>
      <c r="E343">
        <f t="shared" si="47"/>
        <v>0.33914044798364162</v>
      </c>
      <c r="F343">
        <f t="shared" si="48"/>
        <v>-0.58235766328231797</v>
      </c>
      <c r="G343">
        <f t="shared" si="50"/>
        <v>-1.3360518576011025E-2</v>
      </c>
      <c r="H343">
        <f t="shared" si="51"/>
        <v>7.241997144706307</v>
      </c>
      <c r="I343">
        <f t="shared" si="52"/>
        <v>-0.56899714470630691</v>
      </c>
      <c r="J343">
        <f t="shared" si="53"/>
        <v>0.56899714470630691</v>
      </c>
    </row>
    <row r="344" spans="1:10" x14ac:dyDescent="0.25">
      <c r="A344">
        <v>8.3059999999999992</v>
      </c>
      <c r="B344">
        <f t="shared" si="49"/>
        <v>339</v>
      </c>
      <c r="C344">
        <f t="shared" si="45"/>
        <v>2.3868047870948548</v>
      </c>
      <c r="D344">
        <f t="shared" si="46"/>
        <v>7.2676075268208766</v>
      </c>
      <c r="E344">
        <f t="shared" si="47"/>
        <v>1.0782589283550548</v>
      </c>
      <c r="F344">
        <f t="shared" si="48"/>
        <v>1.0383924731791225</v>
      </c>
      <c r="G344">
        <f t="shared" si="50"/>
        <v>-0.11717036185240237</v>
      </c>
      <c r="H344">
        <f t="shared" si="51"/>
        <v>7.1504371649684746</v>
      </c>
      <c r="I344">
        <f t="shared" si="52"/>
        <v>1.1555628350315246</v>
      </c>
      <c r="J344">
        <f t="shared" si="53"/>
        <v>1.1555628350315246</v>
      </c>
    </row>
    <row r="345" spans="1:10" x14ac:dyDescent="0.25">
      <c r="A345">
        <v>7.36</v>
      </c>
      <c r="B345">
        <f t="shared" si="49"/>
        <v>340</v>
      </c>
      <c r="C345">
        <f t="shared" si="45"/>
        <v>2.3983473888635305</v>
      </c>
      <c r="D345">
        <f t="shared" si="46"/>
        <v>7.2791501285895528</v>
      </c>
      <c r="E345">
        <f t="shared" si="47"/>
        <v>6.5367017070859E-3</v>
      </c>
      <c r="F345">
        <f t="shared" si="48"/>
        <v>8.0849871410447527E-2</v>
      </c>
      <c r="G345">
        <f t="shared" si="50"/>
        <v>0.20892456560363945</v>
      </c>
      <c r="H345">
        <f t="shared" si="51"/>
        <v>7.4880746941931919</v>
      </c>
      <c r="I345">
        <f t="shared" si="52"/>
        <v>-0.12807469419319162</v>
      </c>
      <c r="J345">
        <f t="shared" si="53"/>
        <v>0.12807469419319162</v>
      </c>
    </row>
    <row r="346" spans="1:10" x14ac:dyDescent="0.25">
      <c r="A346">
        <v>8.3450000000000006</v>
      </c>
      <c r="B346">
        <f t="shared" si="49"/>
        <v>341</v>
      </c>
      <c r="C346">
        <f t="shared" si="45"/>
        <v>2.4091793085403101</v>
      </c>
      <c r="D346">
        <f t="shared" si="46"/>
        <v>7.2899820482663316</v>
      </c>
      <c r="E346">
        <f t="shared" si="47"/>
        <v>1.1130628784803065</v>
      </c>
      <c r="F346">
        <f t="shared" si="48"/>
        <v>1.0550179517336691</v>
      </c>
      <c r="G346">
        <f t="shared" si="50"/>
        <v>1.6266994127782042E-2</v>
      </c>
      <c r="H346">
        <f t="shared" si="51"/>
        <v>7.3062490423941133</v>
      </c>
      <c r="I346">
        <f t="shared" si="52"/>
        <v>1.0387509576058873</v>
      </c>
      <c r="J346">
        <f t="shared" si="53"/>
        <v>1.0387509576058873</v>
      </c>
    </row>
    <row r="347" spans="1:10" x14ac:dyDescent="0.25">
      <c r="A347">
        <v>8.3539999999999992</v>
      </c>
      <c r="B347">
        <f t="shared" si="49"/>
        <v>342</v>
      </c>
      <c r="C347">
        <f t="shared" si="45"/>
        <v>2.4192973363936217</v>
      </c>
      <c r="D347">
        <f t="shared" si="46"/>
        <v>7.3001000761196435</v>
      </c>
      <c r="E347">
        <f t="shared" si="47"/>
        <v>1.1107050495550195</v>
      </c>
      <c r="F347">
        <f t="shared" si="48"/>
        <v>1.0538999238803557</v>
      </c>
      <c r="G347">
        <f t="shared" si="50"/>
        <v>0.21226961188881421</v>
      </c>
      <c r="H347">
        <f t="shared" si="51"/>
        <v>7.5123696880084578</v>
      </c>
      <c r="I347">
        <f t="shared" si="52"/>
        <v>0.84163031199154137</v>
      </c>
      <c r="J347">
        <f t="shared" si="53"/>
        <v>0.84163031199154137</v>
      </c>
    </row>
    <row r="348" spans="1:10" x14ac:dyDescent="0.25">
      <c r="A348">
        <v>8.0359999999999996</v>
      </c>
      <c r="B348">
        <f t="shared" si="49"/>
        <v>343</v>
      </c>
      <c r="C348">
        <f t="shared" si="45"/>
        <v>2.4286984742334465</v>
      </c>
      <c r="D348">
        <f t="shared" si="46"/>
        <v>7.3095012139594679</v>
      </c>
      <c r="E348">
        <f t="shared" si="47"/>
        <v>0.52780048611836616</v>
      </c>
      <c r="F348">
        <f t="shared" si="48"/>
        <v>0.72649878604053164</v>
      </c>
      <c r="G348">
        <f t="shared" si="50"/>
        <v>0.21204466468472755</v>
      </c>
      <c r="H348">
        <f t="shared" si="51"/>
        <v>7.5215458786441953</v>
      </c>
      <c r="I348">
        <f t="shared" si="52"/>
        <v>0.51445412135580426</v>
      </c>
      <c r="J348">
        <f t="shared" si="53"/>
        <v>0.51445412135580426</v>
      </c>
    </row>
    <row r="349" spans="1:10" x14ac:dyDescent="0.25">
      <c r="A349">
        <v>5.9550000000000001</v>
      </c>
      <c r="B349">
        <f t="shared" si="49"/>
        <v>344</v>
      </c>
      <c r="C349">
        <f t="shared" si="45"/>
        <v>2.4373799362997506</v>
      </c>
      <c r="D349">
        <f t="shared" si="46"/>
        <v>7.3181826760257724</v>
      </c>
      <c r="E349">
        <f t="shared" si="47"/>
        <v>1.8582670082167858</v>
      </c>
      <c r="F349">
        <f t="shared" si="48"/>
        <v>-1.3631826760257724</v>
      </c>
      <c r="G349">
        <f t="shared" si="50"/>
        <v>0.14617155575135496</v>
      </c>
      <c r="H349">
        <f t="shared" si="51"/>
        <v>7.4643542317771274</v>
      </c>
      <c r="I349">
        <f t="shared" si="52"/>
        <v>-1.5093542317771274</v>
      </c>
      <c r="J349">
        <f t="shared" si="53"/>
        <v>1.5093542317771274</v>
      </c>
    </row>
    <row r="350" spans="1:10" x14ac:dyDescent="0.25">
      <c r="A350">
        <v>3.1560000000000001</v>
      </c>
      <c r="B350">
        <f t="shared" si="49"/>
        <v>345</v>
      </c>
      <c r="C350">
        <f t="shared" si="45"/>
        <v>2.4453391500879613</v>
      </c>
      <c r="D350">
        <f t="shared" si="46"/>
        <v>7.3261418898139832</v>
      </c>
      <c r="E350">
        <f t="shared" si="47"/>
        <v>17.390083381181341</v>
      </c>
      <c r="F350">
        <f t="shared" si="48"/>
        <v>-4.1701418898139835</v>
      </c>
      <c r="G350">
        <f t="shared" si="50"/>
        <v>-0.27427235441638537</v>
      </c>
      <c r="H350">
        <f t="shared" si="51"/>
        <v>7.0518695353975982</v>
      </c>
      <c r="I350">
        <f t="shared" si="52"/>
        <v>-3.8958695353975981</v>
      </c>
      <c r="J350">
        <f t="shared" si="53"/>
        <v>3.8958695353975981</v>
      </c>
    </row>
    <row r="351" spans="1:10" x14ac:dyDescent="0.25">
      <c r="A351">
        <v>6.8840000000000003</v>
      </c>
      <c r="B351">
        <f t="shared" si="49"/>
        <v>346</v>
      </c>
      <c r="C351">
        <f t="shared" si="45"/>
        <v>2.45257375711126</v>
      </c>
      <c r="D351">
        <f t="shared" si="46"/>
        <v>7.3333764968372819</v>
      </c>
      <c r="E351">
        <f t="shared" si="47"/>
        <v>0.2019392359097473</v>
      </c>
      <c r="F351">
        <f t="shared" si="48"/>
        <v>-0.44937649683728154</v>
      </c>
      <c r="G351">
        <f t="shared" si="50"/>
        <v>-0.83903254823057338</v>
      </c>
      <c r="H351">
        <f t="shared" si="51"/>
        <v>6.4943439486067085</v>
      </c>
      <c r="I351">
        <f t="shared" si="52"/>
        <v>0.38965605139329185</v>
      </c>
      <c r="J351">
        <f t="shared" si="53"/>
        <v>0.38965605139329185</v>
      </c>
    </row>
    <row r="352" spans="1:10" x14ac:dyDescent="0.25">
      <c r="A352">
        <v>7.7039999999999997</v>
      </c>
      <c r="B352">
        <f t="shared" si="49"/>
        <v>347</v>
      </c>
      <c r="C352">
        <f t="shared" si="45"/>
        <v>2.4590816135994498</v>
      </c>
      <c r="D352">
        <f t="shared" si="46"/>
        <v>7.3398843533254716</v>
      </c>
      <c r="E352">
        <f t="shared" si="47"/>
        <v>0.13258020415320979</v>
      </c>
      <c r="F352">
        <f t="shared" si="48"/>
        <v>0.36411564667452812</v>
      </c>
      <c r="G352">
        <f t="shared" si="50"/>
        <v>-9.0414551163661039E-2</v>
      </c>
      <c r="H352">
        <f t="shared" si="51"/>
        <v>7.2494698021618103</v>
      </c>
      <c r="I352">
        <f t="shared" si="52"/>
        <v>0.45453019783818949</v>
      </c>
      <c r="J352">
        <f t="shared" si="53"/>
        <v>0.45453019783818949</v>
      </c>
    </row>
    <row r="353" spans="1:10" x14ac:dyDescent="0.25">
      <c r="A353">
        <v>7.44</v>
      </c>
      <c r="B353">
        <f t="shared" si="49"/>
        <v>348</v>
      </c>
      <c r="C353">
        <f t="shared" si="45"/>
        <v>2.4648607911342024</v>
      </c>
      <c r="D353">
        <f t="shared" si="46"/>
        <v>7.3456635308602243</v>
      </c>
      <c r="E353">
        <f t="shared" si="47"/>
        <v>8.8993694097599316E-3</v>
      </c>
      <c r="F353">
        <f t="shared" si="48"/>
        <v>9.4336469139776113E-2</v>
      </c>
      <c r="G353">
        <f t="shared" si="50"/>
        <v>7.3260068110915053E-2</v>
      </c>
      <c r="H353">
        <f t="shared" si="51"/>
        <v>7.4189235989711397</v>
      </c>
      <c r="I353">
        <f t="shared" si="52"/>
        <v>2.1076401028860658E-2</v>
      </c>
      <c r="J353">
        <f t="shared" si="53"/>
        <v>2.1076401028860658E-2</v>
      </c>
    </row>
    <row r="354" spans="1:10" x14ac:dyDescent="0.25">
      <c r="A354">
        <v>6.0179999999999998</v>
      </c>
      <c r="B354">
        <f t="shared" si="49"/>
        <v>349</v>
      </c>
      <c r="C354">
        <f t="shared" si="45"/>
        <v>2.4699095772204895</v>
      </c>
      <c r="D354">
        <f t="shared" si="46"/>
        <v>7.3507123169465114</v>
      </c>
      <c r="E354">
        <f t="shared" si="47"/>
        <v>1.7761221197409391</v>
      </c>
      <c r="F354">
        <f t="shared" si="48"/>
        <v>-1.3327123169465116</v>
      </c>
      <c r="G354">
        <f t="shared" si="50"/>
        <v>1.8980497590922952E-2</v>
      </c>
      <c r="H354">
        <f t="shared" si="51"/>
        <v>7.3696928145374345</v>
      </c>
      <c r="I354">
        <f t="shared" si="52"/>
        <v>-1.3516928145374347</v>
      </c>
      <c r="J354">
        <f t="shared" si="53"/>
        <v>1.3516928145374347</v>
      </c>
    </row>
    <row r="355" spans="1:10" x14ac:dyDescent="0.25">
      <c r="A355">
        <v>8.2880000000000003</v>
      </c>
      <c r="B355">
        <f t="shared" si="49"/>
        <v>350</v>
      </c>
      <c r="C355">
        <f t="shared" si="45"/>
        <v>2.4742264757940315</v>
      </c>
      <c r="D355">
        <f t="shared" si="46"/>
        <v>7.3550292155200534</v>
      </c>
      <c r="E355">
        <f t="shared" si="47"/>
        <v>0.87043448469312745</v>
      </c>
      <c r="F355">
        <f t="shared" si="48"/>
        <v>0.93297078447994686</v>
      </c>
      <c r="G355">
        <f t="shared" si="50"/>
        <v>-0.26814171816963811</v>
      </c>
      <c r="H355">
        <f t="shared" si="51"/>
        <v>7.086887497350415</v>
      </c>
      <c r="I355">
        <f t="shared" si="52"/>
        <v>1.2011125026495852</v>
      </c>
      <c r="J355">
        <f t="shared" si="53"/>
        <v>1.2011125026495852</v>
      </c>
    </row>
    <row r="356" spans="1:10" x14ac:dyDescent="0.25">
      <c r="A356">
        <v>7.3769999999999998</v>
      </c>
      <c r="B356">
        <f t="shared" si="49"/>
        <v>351</v>
      </c>
      <c r="C356">
        <f t="shared" si="45"/>
        <v>2.4778102076646147</v>
      </c>
      <c r="D356">
        <f t="shared" si="46"/>
        <v>7.3586129473906361</v>
      </c>
      <c r="E356">
        <f t="shared" si="47"/>
        <v>3.3808370365950792E-4</v>
      </c>
      <c r="F356">
        <f t="shared" si="48"/>
        <v>1.8387052609363685E-2</v>
      </c>
      <c r="G356">
        <f t="shared" si="50"/>
        <v>0.18771372183736529</v>
      </c>
      <c r="H356">
        <f t="shared" si="51"/>
        <v>7.5463266692280015</v>
      </c>
      <c r="I356">
        <f t="shared" si="52"/>
        <v>-0.16932666922800177</v>
      </c>
      <c r="J356">
        <f t="shared" si="53"/>
        <v>0.16932666922800177</v>
      </c>
    </row>
    <row r="357" spans="1:10" x14ac:dyDescent="0.25">
      <c r="A357">
        <v>7.89</v>
      </c>
      <c r="B357">
        <f t="shared" si="49"/>
        <v>352</v>
      </c>
      <c r="C357">
        <f t="shared" si="45"/>
        <v>2.4806597108951434</v>
      </c>
      <c r="D357">
        <f t="shared" si="46"/>
        <v>7.3614624506211648</v>
      </c>
      <c r="E357">
        <f t="shared" si="47"/>
        <v>0.27935194110338435</v>
      </c>
      <c r="F357">
        <f t="shared" si="48"/>
        <v>0.5285375493788349</v>
      </c>
      <c r="G357">
        <f t="shared" si="50"/>
        <v>3.6994749850039733E-3</v>
      </c>
      <c r="H357">
        <f t="shared" si="51"/>
        <v>7.3651619256061691</v>
      </c>
      <c r="I357">
        <f t="shared" si="52"/>
        <v>0.52483807439383057</v>
      </c>
      <c r="J357">
        <f t="shared" si="53"/>
        <v>0.52483807439383057</v>
      </c>
    </row>
    <row r="358" spans="1:10" x14ac:dyDescent="0.25">
      <c r="A358">
        <v>7.915</v>
      </c>
      <c r="B358">
        <f t="shared" si="49"/>
        <v>353</v>
      </c>
      <c r="C358">
        <f t="shared" si="45"/>
        <v>2.482774141116312</v>
      </c>
      <c r="D358">
        <f t="shared" si="46"/>
        <v>7.3635768808423343</v>
      </c>
      <c r="E358">
        <f t="shared" si="47"/>
        <v>0.30406745634156923</v>
      </c>
      <c r="F358">
        <f t="shared" si="48"/>
        <v>0.55142311915766573</v>
      </c>
      <c r="G358">
        <f t="shared" si="50"/>
        <v>0.10634175493502157</v>
      </c>
      <c r="H358">
        <f t="shared" si="51"/>
        <v>7.4699186357773559</v>
      </c>
      <c r="I358">
        <f t="shared" si="52"/>
        <v>0.4450813642226441</v>
      </c>
      <c r="J358">
        <f t="shared" si="53"/>
        <v>0.4450813642226441</v>
      </c>
    </row>
    <row r="359" spans="1:10" x14ac:dyDescent="0.25">
      <c r="A359">
        <v>5.9509999999999996</v>
      </c>
      <c r="B359">
        <f t="shared" si="49"/>
        <v>354</v>
      </c>
      <c r="C359">
        <f t="shared" si="45"/>
        <v>2.4841528717768142</v>
      </c>
      <c r="D359">
        <f t="shared" si="46"/>
        <v>7.3649556115028361</v>
      </c>
      <c r="E359">
        <f t="shared" si="47"/>
        <v>1.9992704713003602</v>
      </c>
      <c r="F359">
        <f t="shared" si="48"/>
        <v>-1.4139556115028364</v>
      </c>
      <c r="G359">
        <f t="shared" si="50"/>
        <v>0.11094633157452234</v>
      </c>
      <c r="H359">
        <f t="shared" si="51"/>
        <v>7.4759019430773588</v>
      </c>
      <c r="I359">
        <f t="shared" si="52"/>
        <v>-1.5249019430773592</v>
      </c>
      <c r="J359">
        <f t="shared" si="53"/>
        <v>1.5249019430773592</v>
      </c>
    </row>
    <row r="360" spans="1:10" x14ac:dyDescent="0.25">
      <c r="A360">
        <v>7.0919999999999996</v>
      </c>
      <c r="B360">
        <f t="shared" si="49"/>
        <v>355</v>
      </c>
      <c r="C360">
        <f t="shared" si="45"/>
        <v>2.4847954943289987</v>
      </c>
      <c r="D360">
        <f t="shared" si="46"/>
        <v>7.365598234055021</v>
      </c>
      <c r="E360">
        <f t="shared" si="47"/>
        <v>7.4855993678026256E-2</v>
      </c>
      <c r="F360">
        <f t="shared" si="48"/>
        <v>-0.27359823405502137</v>
      </c>
      <c r="G360">
        <f t="shared" si="50"/>
        <v>-0.28448786903437068</v>
      </c>
      <c r="H360">
        <f t="shared" si="51"/>
        <v>7.0811103650206499</v>
      </c>
      <c r="I360">
        <f t="shared" si="52"/>
        <v>1.0889634979349694E-2</v>
      </c>
      <c r="J360">
        <f t="shared" si="53"/>
        <v>1.0889634979349694E-2</v>
      </c>
    </row>
    <row r="361" spans="1:10" x14ac:dyDescent="0.25">
      <c r="A361">
        <v>8.3520000000000003</v>
      </c>
      <c r="B361">
        <f t="shared" si="49"/>
        <v>356</v>
      </c>
      <c r="C361">
        <f t="shared" si="45"/>
        <v>2.4847018183499343</v>
      </c>
      <c r="D361">
        <f t="shared" si="46"/>
        <v>7.3655045580759566</v>
      </c>
      <c r="E361">
        <f t="shared" si="47"/>
        <v>0.97317325693691425</v>
      </c>
      <c r="F361">
        <f t="shared" si="48"/>
        <v>0.9864954419240437</v>
      </c>
      <c r="G361">
        <f t="shared" si="50"/>
        <v>-5.5047964691870295E-2</v>
      </c>
      <c r="H361">
        <f t="shared" si="51"/>
        <v>7.3104565933840862</v>
      </c>
      <c r="I361">
        <f t="shared" si="52"/>
        <v>1.0415434066159142</v>
      </c>
      <c r="J361">
        <f t="shared" si="53"/>
        <v>1.0415434066159142</v>
      </c>
    </row>
    <row r="362" spans="1:10" x14ac:dyDescent="0.25">
      <c r="A362">
        <v>8.3320000000000007</v>
      </c>
      <c r="B362">
        <f t="shared" si="49"/>
        <v>357</v>
      </c>
      <c r="C362">
        <f t="shared" si="45"/>
        <v>2.4838718715978363</v>
      </c>
      <c r="D362">
        <f t="shared" si="46"/>
        <v>7.3646746113238581</v>
      </c>
      <c r="E362">
        <f t="shared" si="47"/>
        <v>0.9357184075774504</v>
      </c>
      <c r="F362">
        <f t="shared" si="48"/>
        <v>0.96732538867614259</v>
      </c>
      <c r="G362">
        <f t="shared" si="50"/>
        <v>0.19848288291511759</v>
      </c>
      <c r="H362">
        <f t="shared" si="51"/>
        <v>7.5631574942389754</v>
      </c>
      <c r="I362">
        <f t="shared" si="52"/>
        <v>0.76884250576102531</v>
      </c>
      <c r="J362">
        <f t="shared" si="53"/>
        <v>0.76884250576102531</v>
      </c>
    </row>
    <row r="363" spans="1:10" x14ac:dyDescent="0.25">
      <c r="A363">
        <v>8.3919999999999995</v>
      </c>
      <c r="B363">
        <f t="shared" si="49"/>
        <v>358</v>
      </c>
      <c r="C363">
        <f t="shared" si="45"/>
        <v>2.4823059000038379</v>
      </c>
      <c r="D363">
        <f t="shared" si="46"/>
        <v>7.3631086397298597</v>
      </c>
      <c r="E363">
        <f t="shared" si="47"/>
        <v>1.0586174312385384</v>
      </c>
      <c r="F363">
        <f t="shared" si="48"/>
        <v>1.0288913602701397</v>
      </c>
      <c r="G363">
        <f t="shared" si="50"/>
        <v>0.19462586820163988</v>
      </c>
      <c r="H363">
        <f t="shared" si="51"/>
        <v>7.5577345079314995</v>
      </c>
      <c r="I363">
        <f t="shared" si="52"/>
        <v>0.83426549206849998</v>
      </c>
      <c r="J363">
        <f t="shared" si="53"/>
        <v>0.83426549206849998</v>
      </c>
    </row>
    <row r="364" spans="1:10" x14ac:dyDescent="0.25">
      <c r="A364">
        <v>7.62</v>
      </c>
      <c r="B364">
        <f t="shared" si="49"/>
        <v>359</v>
      </c>
      <c r="C364">
        <f t="shared" si="45"/>
        <v>2.4800043675991197</v>
      </c>
      <c r="D364">
        <f t="shared" si="46"/>
        <v>7.360807107325142</v>
      </c>
      <c r="E364">
        <f t="shared" si="47"/>
        <v>6.7180955613160523E-2</v>
      </c>
      <c r="F364">
        <f t="shared" si="48"/>
        <v>0.25919289267485812</v>
      </c>
      <c r="G364">
        <f t="shared" si="50"/>
        <v>0.20701294168635209</v>
      </c>
      <c r="H364">
        <f t="shared" si="51"/>
        <v>7.5678200490114937</v>
      </c>
      <c r="I364">
        <f t="shared" si="52"/>
        <v>5.2179950988506363E-2</v>
      </c>
      <c r="J364">
        <f t="shared" si="53"/>
        <v>5.2179950988506363E-2</v>
      </c>
    </row>
    <row r="365" spans="1:10" x14ac:dyDescent="0.25">
      <c r="A365">
        <v>6.1920000000000002</v>
      </c>
      <c r="B365">
        <f t="shared" si="49"/>
        <v>360</v>
      </c>
      <c r="C365">
        <f t="shared" si="45"/>
        <v>2.4769679563774036</v>
      </c>
      <c r="D365">
        <f t="shared" si="46"/>
        <v>7.3577706961034259</v>
      </c>
      <c r="E365">
        <f t="shared" si="47"/>
        <v>1.3590213158934659</v>
      </c>
      <c r="F365">
        <f t="shared" si="48"/>
        <v>-1.1657706961034258</v>
      </c>
      <c r="G365">
        <f t="shared" si="50"/>
        <v>5.214961000618145E-2</v>
      </c>
      <c r="H365">
        <f t="shared" si="51"/>
        <v>7.4099203061096075</v>
      </c>
      <c r="I365">
        <f t="shared" si="52"/>
        <v>-1.2179203061096073</v>
      </c>
      <c r="J365">
        <f t="shared" si="53"/>
        <v>1.2179203061096073</v>
      </c>
    </row>
    <row r="366" spans="1:10" x14ac:dyDescent="0.25">
      <c r="A366">
        <v>2.1480000000000001</v>
      </c>
      <c r="B366">
        <f t="shared" si="49"/>
        <v>361</v>
      </c>
      <c r="C366">
        <f t="shared" si="45"/>
        <v>2.4731975660928671</v>
      </c>
      <c r="D366">
        <f t="shared" si="46"/>
        <v>7.3540003058188894</v>
      </c>
      <c r="E366">
        <f t="shared" si="47"/>
        <v>27.102439184186373</v>
      </c>
      <c r="F366">
        <f t="shared" si="48"/>
        <v>-5.2060003058188897</v>
      </c>
      <c r="G366">
        <f t="shared" si="50"/>
        <v>-0.23455306405600926</v>
      </c>
      <c r="H366">
        <f t="shared" si="51"/>
        <v>7.11944724176288</v>
      </c>
      <c r="I366">
        <f t="shared" si="52"/>
        <v>-4.9714472417628794</v>
      </c>
      <c r="J366">
        <f t="shared" si="53"/>
        <v>4.9714472417628794</v>
      </c>
    </row>
    <row r="367" spans="1:10" x14ac:dyDescent="0.25">
      <c r="A367">
        <v>8.27</v>
      </c>
      <c r="B367">
        <f t="shared" si="49"/>
        <v>362</v>
      </c>
      <c r="C367">
        <f t="shared" si="45"/>
        <v>2.4686943139935211</v>
      </c>
      <c r="D367">
        <f t="shared" si="46"/>
        <v>7.349497053719543</v>
      </c>
      <c r="E367">
        <f t="shared" si="47"/>
        <v>0.84732567411100113</v>
      </c>
      <c r="F367">
        <f t="shared" si="48"/>
        <v>0.92050294628045659</v>
      </c>
      <c r="G367">
        <f t="shared" si="50"/>
        <v>-1.0474472615307606</v>
      </c>
      <c r="H367">
        <f t="shared" si="51"/>
        <v>6.3020497921887824</v>
      </c>
      <c r="I367">
        <f t="shared" si="52"/>
        <v>1.9679502078112172</v>
      </c>
      <c r="J367">
        <f t="shared" si="53"/>
        <v>1.9679502078112172</v>
      </c>
    </row>
    <row r="368" spans="1:10" x14ac:dyDescent="0.25">
      <c r="A368">
        <v>4.6820000000000004</v>
      </c>
      <c r="B368">
        <f t="shared" si="49"/>
        <v>363</v>
      </c>
      <c r="C368">
        <f t="shared" si="45"/>
        <v>2.4634595344901533</v>
      </c>
      <c r="D368">
        <f t="shared" si="46"/>
        <v>7.3442622742161756</v>
      </c>
      <c r="E368">
        <f t="shared" si="47"/>
        <v>7.0876404167146818</v>
      </c>
      <c r="F368">
        <f t="shared" si="48"/>
        <v>-2.6622622742161752</v>
      </c>
      <c r="G368">
        <f t="shared" si="50"/>
        <v>0.18520519279162787</v>
      </c>
      <c r="H368">
        <f t="shared" si="51"/>
        <v>7.5294674670078034</v>
      </c>
      <c r="I368">
        <f t="shared" si="52"/>
        <v>-2.8474674670078031</v>
      </c>
      <c r="J368">
        <f t="shared" si="53"/>
        <v>2.8474674670078031</v>
      </c>
    </row>
    <row r="369" spans="1:10" x14ac:dyDescent="0.25">
      <c r="A369">
        <v>3.4460000000000002</v>
      </c>
      <c r="B369">
        <f t="shared" si="49"/>
        <v>364</v>
      </c>
      <c r="C369">
        <f t="shared" si="45"/>
        <v>2.4574947787609038</v>
      </c>
      <c r="D369">
        <f t="shared" si="46"/>
        <v>7.3382975184869252</v>
      </c>
      <c r="E369">
        <f t="shared" si="47"/>
        <v>15.149979972419475</v>
      </c>
      <c r="F369">
        <f t="shared" si="48"/>
        <v>-3.8922975184869251</v>
      </c>
      <c r="G369">
        <f t="shared" si="50"/>
        <v>-0.53564716957229441</v>
      </c>
      <c r="H369">
        <f t="shared" si="51"/>
        <v>6.8026503489146304</v>
      </c>
      <c r="I369">
        <f t="shared" si="52"/>
        <v>-3.3566503489146302</v>
      </c>
      <c r="J369">
        <f t="shared" si="53"/>
        <v>3.3566503489146302</v>
      </c>
    </row>
    <row r="370" spans="1:10" x14ac:dyDescent="0.25">
      <c r="A370">
        <v>6.33</v>
      </c>
      <c r="B370">
        <f t="shared" si="49"/>
        <v>365</v>
      </c>
      <c r="C370">
        <f t="shared" si="45"/>
        <v>2.4508018142916268</v>
      </c>
      <c r="D370">
        <f t="shared" si="46"/>
        <v>7.3316045540176482</v>
      </c>
      <c r="E370">
        <f t="shared" si="47"/>
        <v>1.0032116826288919</v>
      </c>
      <c r="F370">
        <f t="shared" si="48"/>
        <v>-1.0016045540176481</v>
      </c>
      <c r="G370">
        <f t="shared" si="50"/>
        <v>-0.78313026071956926</v>
      </c>
      <c r="H370">
        <f t="shared" si="51"/>
        <v>6.5484742932980788</v>
      </c>
      <c r="I370">
        <f t="shared" si="52"/>
        <v>-0.21847429329807877</v>
      </c>
      <c r="J370">
        <f t="shared" si="53"/>
        <v>0.21847429329807877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9C4B3-5687-4E56-90E4-76CB261C5245}">
  <dimension ref="A1:L366"/>
  <sheetViews>
    <sheetView workbookViewId="0">
      <selection activeCell="D1" sqref="D1:L1048576"/>
    </sheetView>
  </sheetViews>
  <sheetFormatPr defaultRowHeight="15" x14ac:dyDescent="0.25"/>
  <sheetData>
    <row r="1" spans="1:12" x14ac:dyDescent="0.25">
      <c r="A1" t="s">
        <v>2</v>
      </c>
      <c r="B1" t="s">
        <v>20</v>
      </c>
      <c r="C1" t="s">
        <v>21</v>
      </c>
      <c r="D1" t="s">
        <v>12</v>
      </c>
      <c r="E1" t="s">
        <v>13</v>
      </c>
      <c r="F1" t="s">
        <v>14</v>
      </c>
      <c r="G1" t="s">
        <v>15</v>
      </c>
      <c r="H1" t="s">
        <v>16</v>
      </c>
      <c r="I1" t="s">
        <v>17</v>
      </c>
      <c r="J1">
        <v>0.20119999999999999</v>
      </c>
      <c r="L1" t="s">
        <v>22</v>
      </c>
    </row>
    <row r="2" spans="1:12" x14ac:dyDescent="0.25">
      <c r="A2">
        <v>7.39</v>
      </c>
      <c r="B2">
        <v>7.3241853640781613</v>
      </c>
      <c r="C2">
        <f>A2-B2</f>
        <v>6.5814635921838338E-2</v>
      </c>
      <c r="G2">
        <f>AVERAGE(F3:F366)</f>
        <v>-0.2292749721763421</v>
      </c>
      <c r="I2">
        <f>AVERAGE(H3:H366)</f>
        <v>0.80207453725291622</v>
      </c>
      <c r="L2">
        <f>AVERAGE(A2:A366)</f>
        <v>4.5942520547945191</v>
      </c>
    </row>
    <row r="3" spans="1:12" x14ac:dyDescent="0.25">
      <c r="A3">
        <v>4.524</v>
      </c>
      <c r="B3">
        <v>7.3160421471345636</v>
      </c>
      <c r="C3">
        <f t="shared" ref="C3:C66" si="0">A3-B3</f>
        <v>-2.7920421471345636</v>
      </c>
      <c r="D3">
        <f>$J$1*C2</f>
        <v>1.3241904747473873E-2</v>
      </c>
      <c r="E3">
        <f>B3+D3</f>
        <v>7.3292840518820377</v>
      </c>
      <c r="F3">
        <f>A3-E3</f>
        <v>-2.8052840518820377</v>
      </c>
      <c r="G3" t="s">
        <v>18</v>
      </c>
      <c r="H3">
        <f>ABS(F3)</f>
        <v>2.8052840518820377</v>
      </c>
      <c r="I3" t="s">
        <v>19</v>
      </c>
    </row>
    <row r="4" spans="1:12" x14ac:dyDescent="0.25">
      <c r="A4">
        <v>7.0279999999999996</v>
      </c>
      <c r="B4">
        <v>7.3071773161977802</v>
      </c>
      <c r="C4">
        <f t="shared" si="0"/>
        <v>-0.27917731619778063</v>
      </c>
      <c r="D4">
        <f t="shared" ref="D4:D67" si="1">$J$1*C3</f>
        <v>-0.56175888000347418</v>
      </c>
      <c r="E4">
        <f t="shared" ref="E4:E67" si="2">B4+D4</f>
        <v>6.7454184361943064</v>
      </c>
      <c r="F4">
        <f t="shared" ref="F4:F67" si="3">A4-E4</f>
        <v>0.28258156380569321</v>
      </c>
      <c r="G4">
        <f>G2/L2</f>
        <v>-4.9904743893420658E-2</v>
      </c>
      <c r="H4">
        <f t="shared" ref="H4:H67" si="4">ABS(F4)</f>
        <v>0.28258156380569321</v>
      </c>
      <c r="I4">
        <f>I2/L2</f>
        <v>0.1745821795771694</v>
      </c>
    </row>
    <row r="5" spans="1:12" x14ac:dyDescent="0.25">
      <c r="A5">
        <v>8.0719999999999992</v>
      </c>
      <c r="B5">
        <v>7.2975934981085349</v>
      </c>
      <c r="C5">
        <f t="shared" si="0"/>
        <v>0.77440650189146432</v>
      </c>
      <c r="D5">
        <f t="shared" si="1"/>
        <v>-5.6170476018993463E-2</v>
      </c>
      <c r="E5">
        <f t="shared" si="2"/>
        <v>7.241423022089541</v>
      </c>
      <c r="F5">
        <f t="shared" si="3"/>
        <v>0.83057697791045815</v>
      </c>
      <c r="H5">
        <f t="shared" si="4"/>
        <v>0.83057697791045815</v>
      </c>
    </row>
    <row r="6" spans="1:12" x14ac:dyDescent="0.25">
      <c r="A6">
        <v>8.2279999999999998</v>
      </c>
      <c r="B6">
        <v>7.287293532758965</v>
      </c>
      <c r="C6">
        <f t="shared" si="0"/>
        <v>0.94070646724103479</v>
      </c>
      <c r="D6">
        <f t="shared" si="1"/>
        <v>0.15581058818056262</v>
      </c>
      <c r="E6">
        <f t="shared" si="2"/>
        <v>7.4431041209395277</v>
      </c>
      <c r="F6">
        <f t="shared" si="3"/>
        <v>0.78489587906047209</v>
      </c>
      <c r="H6">
        <f t="shared" si="4"/>
        <v>0.78489587906047209</v>
      </c>
    </row>
    <row r="7" spans="1:12" x14ac:dyDescent="0.25">
      <c r="A7">
        <v>8.2379999999999995</v>
      </c>
      <c r="B7">
        <v>7.2762804722510941</v>
      </c>
      <c r="C7">
        <f t="shared" si="0"/>
        <v>0.96171952774890546</v>
      </c>
      <c r="D7">
        <f t="shared" si="1"/>
        <v>0.18927014120889618</v>
      </c>
      <c r="E7">
        <f t="shared" si="2"/>
        <v>7.4655506134599907</v>
      </c>
      <c r="F7">
        <f t="shared" si="3"/>
        <v>0.77244938654000883</v>
      </c>
      <c r="H7">
        <f t="shared" si="4"/>
        <v>0.77244938654000883</v>
      </c>
    </row>
    <row r="8" spans="1:12" x14ac:dyDescent="0.25">
      <c r="A8">
        <v>8.2319999999999993</v>
      </c>
      <c r="B8">
        <v>7.2645575799924327</v>
      </c>
      <c r="C8">
        <f t="shared" si="0"/>
        <v>0.96744242000756664</v>
      </c>
      <c r="D8">
        <f t="shared" si="1"/>
        <v>0.19349796898307978</v>
      </c>
      <c r="E8">
        <f t="shared" si="2"/>
        <v>7.458055548975512</v>
      </c>
      <c r="F8">
        <f t="shared" si="3"/>
        <v>0.77394445102448728</v>
      </c>
      <c r="H8">
        <f t="shared" si="4"/>
        <v>0.77394445102448728</v>
      </c>
    </row>
    <row r="9" spans="1:12" x14ac:dyDescent="0.25">
      <c r="A9">
        <v>8.2639999999999993</v>
      </c>
      <c r="B9">
        <v>7.2521283297289578</v>
      </c>
      <c r="C9">
        <f t="shared" si="0"/>
        <v>1.0118716702710415</v>
      </c>
      <c r="D9">
        <f t="shared" si="1"/>
        <v>0.1946494149055224</v>
      </c>
      <c r="E9">
        <f t="shared" si="2"/>
        <v>7.4467777446344803</v>
      </c>
      <c r="F9">
        <f t="shared" si="3"/>
        <v>0.81722225536551907</v>
      </c>
      <c r="H9">
        <f t="shared" si="4"/>
        <v>0.81722225536551907</v>
      </c>
    </row>
    <row r="10" spans="1:12" x14ac:dyDescent="0.25">
      <c r="A10">
        <v>7.8520000000000003</v>
      </c>
      <c r="B10">
        <v>7.2389964045157669</v>
      </c>
      <c r="C10">
        <f t="shared" si="0"/>
        <v>0.61300359548423344</v>
      </c>
      <c r="D10">
        <f t="shared" si="1"/>
        <v>0.20358858005853356</v>
      </c>
      <c r="E10">
        <f t="shared" si="2"/>
        <v>7.4425849845743004</v>
      </c>
      <c r="F10">
        <f t="shared" si="3"/>
        <v>0.40941501542569991</v>
      </c>
      <c r="H10">
        <f t="shared" si="4"/>
        <v>0.40941501542569991</v>
      </c>
    </row>
    <row r="11" spans="1:12" x14ac:dyDescent="0.25">
      <c r="A11">
        <v>8.0559999999999992</v>
      </c>
      <c r="B11">
        <v>7.2251656956257104</v>
      </c>
      <c r="C11">
        <f t="shared" si="0"/>
        <v>0.83083430437428873</v>
      </c>
      <c r="D11">
        <f t="shared" si="1"/>
        <v>0.12333632341142776</v>
      </c>
      <c r="E11">
        <f t="shared" si="2"/>
        <v>7.348502019037138</v>
      </c>
      <c r="F11">
        <f t="shared" si="3"/>
        <v>0.70749798096286121</v>
      </c>
      <c r="H11">
        <f t="shared" si="4"/>
        <v>0.70749798096286121</v>
      </c>
    </row>
    <row r="12" spans="1:12" x14ac:dyDescent="0.25">
      <c r="A12">
        <v>8.1300000000000008</v>
      </c>
      <c r="B12">
        <v>7.2106403013963254</v>
      </c>
      <c r="C12">
        <f t="shared" si="0"/>
        <v>0.91935969860367539</v>
      </c>
      <c r="D12">
        <f t="shared" si="1"/>
        <v>0.16716386204010689</v>
      </c>
      <c r="E12">
        <f t="shared" si="2"/>
        <v>7.3778041634364326</v>
      </c>
      <c r="F12">
        <f t="shared" si="3"/>
        <v>0.75219583656356814</v>
      </c>
      <c r="H12">
        <f t="shared" si="4"/>
        <v>0.75219583656356814</v>
      </c>
    </row>
    <row r="13" spans="1:12" x14ac:dyDescent="0.25">
      <c r="A13">
        <v>7.524</v>
      </c>
      <c r="B13">
        <v>7.1954245260154046</v>
      </c>
      <c r="C13">
        <f t="shared" si="0"/>
        <v>0.32857547398459541</v>
      </c>
      <c r="D13">
        <f t="shared" si="1"/>
        <v>0.18497517135905947</v>
      </c>
      <c r="E13">
        <f t="shared" si="2"/>
        <v>7.3803996973744637</v>
      </c>
      <c r="F13">
        <f t="shared" si="3"/>
        <v>0.14360030262553636</v>
      </c>
      <c r="H13">
        <f t="shared" si="4"/>
        <v>0.14360030262553636</v>
      </c>
    </row>
    <row r="14" spans="1:12" x14ac:dyDescent="0.25">
      <c r="A14">
        <v>8.1679999999999993</v>
      </c>
      <c r="B14">
        <v>7.179522878245578</v>
      </c>
      <c r="C14">
        <f t="shared" si="0"/>
        <v>0.98847712175442126</v>
      </c>
      <c r="D14">
        <f t="shared" si="1"/>
        <v>6.6109385365700588E-2</v>
      </c>
      <c r="E14">
        <f t="shared" si="2"/>
        <v>7.2456322636112782</v>
      </c>
      <c r="F14">
        <f t="shared" si="3"/>
        <v>0.92236773638872105</v>
      </c>
      <c r="H14">
        <f t="shared" si="4"/>
        <v>0.92236773638872105</v>
      </c>
    </row>
    <row r="15" spans="1:12" x14ac:dyDescent="0.25">
      <c r="A15">
        <v>8.1140000000000008</v>
      </c>
      <c r="B15">
        <v>7.1629400700882631</v>
      </c>
      <c r="C15">
        <f t="shared" si="0"/>
        <v>0.95105992991173771</v>
      </c>
      <c r="D15">
        <f t="shared" si="1"/>
        <v>0.19888159689698956</v>
      </c>
      <c r="E15">
        <f t="shared" si="2"/>
        <v>7.3618216669852528</v>
      </c>
      <c r="F15">
        <f t="shared" si="3"/>
        <v>0.75217833301474801</v>
      </c>
      <c r="H15">
        <f t="shared" si="4"/>
        <v>0.75217833301474801</v>
      </c>
    </row>
    <row r="16" spans="1:12" x14ac:dyDescent="0.25">
      <c r="A16">
        <v>7.9580000000000002</v>
      </c>
      <c r="B16">
        <v>7.145681015387404</v>
      </c>
      <c r="C16">
        <f t="shared" si="0"/>
        <v>0.81231898461259622</v>
      </c>
      <c r="D16">
        <f t="shared" si="1"/>
        <v>0.19135325789824162</v>
      </c>
      <c r="E16">
        <f t="shared" si="2"/>
        <v>7.3370342732856457</v>
      </c>
      <c r="F16">
        <f t="shared" si="3"/>
        <v>0.62096572671435446</v>
      </c>
      <c r="H16">
        <f t="shared" si="4"/>
        <v>0.62096572671435446</v>
      </c>
    </row>
    <row r="17" spans="1:8" x14ac:dyDescent="0.25">
      <c r="A17">
        <v>7.1020000000000003</v>
      </c>
      <c r="B17">
        <v>7.1277508283733901</v>
      </c>
      <c r="C17">
        <f t="shared" si="0"/>
        <v>-2.5750828373389822E-2</v>
      </c>
      <c r="D17">
        <f t="shared" si="1"/>
        <v>0.16343857970405434</v>
      </c>
      <c r="E17">
        <f t="shared" si="2"/>
        <v>7.2911894080774449</v>
      </c>
      <c r="F17">
        <f t="shared" si="3"/>
        <v>-0.18918940807744455</v>
      </c>
      <c r="H17">
        <f t="shared" si="4"/>
        <v>0.18918940807744455</v>
      </c>
    </row>
    <row r="18" spans="1:8" x14ac:dyDescent="0.25">
      <c r="A18">
        <v>8.0139999999999993</v>
      </c>
      <c r="B18">
        <v>7.1091548221476</v>
      </c>
      <c r="C18">
        <f t="shared" si="0"/>
        <v>0.90484517785239937</v>
      </c>
      <c r="D18">
        <f t="shared" si="1"/>
        <v>-5.1810666687260318E-3</v>
      </c>
      <c r="E18">
        <f t="shared" si="2"/>
        <v>7.103973755478874</v>
      </c>
      <c r="F18">
        <f t="shared" si="3"/>
        <v>0.91002624452112535</v>
      </c>
      <c r="H18">
        <f t="shared" si="4"/>
        <v>0.91002624452112535</v>
      </c>
    </row>
    <row r="19" spans="1:8" x14ac:dyDescent="0.25">
      <c r="A19">
        <v>7.66</v>
      </c>
      <c r="B19">
        <v>7.0898985071080105</v>
      </c>
      <c r="C19">
        <f t="shared" si="0"/>
        <v>0.57010149289198964</v>
      </c>
      <c r="D19">
        <f t="shared" si="1"/>
        <v>0.18205484978390274</v>
      </c>
      <c r="E19">
        <f t="shared" si="2"/>
        <v>7.2719533568919132</v>
      </c>
      <c r="F19">
        <f t="shared" si="3"/>
        <v>0.3880466431080869</v>
      </c>
      <c r="H19">
        <f t="shared" si="4"/>
        <v>0.3880466431080869</v>
      </c>
    </row>
    <row r="20" spans="1:8" x14ac:dyDescent="0.25">
      <c r="A20">
        <v>2.0760000000000001</v>
      </c>
      <c r="B20">
        <v>7.0699875893163542</v>
      </c>
      <c r="C20">
        <f t="shared" si="0"/>
        <v>-4.9939875893163546</v>
      </c>
      <c r="D20">
        <f t="shared" si="1"/>
        <v>0.1147044203698683</v>
      </c>
      <c r="E20">
        <f t="shared" si="2"/>
        <v>7.1846920096862226</v>
      </c>
      <c r="F20">
        <f t="shared" si="3"/>
        <v>-5.1086920096862229</v>
      </c>
      <c r="H20">
        <f t="shared" si="4"/>
        <v>5.1086920096862229</v>
      </c>
    </row>
    <row r="21" spans="1:8" x14ac:dyDescent="0.25">
      <c r="A21">
        <v>3.9540000000000002</v>
      </c>
      <c r="B21">
        <v>7.0494279688072865</v>
      </c>
      <c r="C21">
        <f t="shared" si="0"/>
        <v>-3.0954279688072863</v>
      </c>
      <c r="D21">
        <f t="shared" si="1"/>
        <v>-1.0047903029704506</v>
      </c>
      <c r="E21">
        <f t="shared" si="2"/>
        <v>6.0446376658368361</v>
      </c>
      <c r="F21">
        <f t="shared" si="3"/>
        <v>-2.090637665836836</v>
      </c>
      <c r="H21">
        <f t="shared" si="4"/>
        <v>2.090637665836836</v>
      </c>
    </row>
    <row r="22" spans="1:8" x14ac:dyDescent="0.25">
      <c r="A22">
        <v>6.1379999999999999</v>
      </c>
      <c r="B22">
        <v>7.0282257378400752</v>
      </c>
      <c r="C22">
        <f t="shared" si="0"/>
        <v>-0.8902257378400753</v>
      </c>
      <c r="D22">
        <f t="shared" si="1"/>
        <v>-0.62280010732402602</v>
      </c>
      <c r="E22">
        <f t="shared" si="2"/>
        <v>6.4054256305160493</v>
      </c>
      <c r="F22">
        <f t="shared" si="3"/>
        <v>-0.2674256305160494</v>
      </c>
      <c r="H22">
        <f t="shared" si="4"/>
        <v>0.2674256305160494</v>
      </c>
    </row>
    <row r="23" spans="1:8" x14ac:dyDescent="0.25">
      <c r="A23">
        <v>8.016</v>
      </c>
      <c r="B23">
        <v>7.0063871790933394</v>
      </c>
      <c r="C23">
        <f t="shared" si="0"/>
        <v>1.0096128209066606</v>
      </c>
      <c r="D23">
        <f t="shared" si="1"/>
        <v>-0.17911341845342313</v>
      </c>
      <c r="E23">
        <f t="shared" si="2"/>
        <v>6.8272737606399163</v>
      </c>
      <c r="F23">
        <f t="shared" si="3"/>
        <v>1.1887262393600837</v>
      </c>
      <c r="H23">
        <f t="shared" si="4"/>
        <v>1.1887262393600837</v>
      </c>
    </row>
    <row r="24" spans="1:8" x14ac:dyDescent="0.25">
      <c r="A24">
        <v>8.0180000000000007</v>
      </c>
      <c r="B24">
        <v>6.9839187638033504</v>
      </c>
      <c r="C24">
        <f t="shared" si="0"/>
        <v>1.0340812361966503</v>
      </c>
      <c r="D24">
        <f t="shared" si="1"/>
        <v>0.20313409956642009</v>
      </c>
      <c r="E24">
        <f t="shared" si="2"/>
        <v>7.1870528633697708</v>
      </c>
      <c r="F24">
        <f t="shared" si="3"/>
        <v>0.8309471366302299</v>
      </c>
      <c r="H24">
        <f t="shared" si="4"/>
        <v>0.8309471366302299</v>
      </c>
    </row>
    <row r="25" spans="1:8" x14ac:dyDescent="0.25">
      <c r="A25">
        <v>6.8319999999999999</v>
      </c>
      <c r="B25">
        <v>6.9608271498464651</v>
      </c>
      <c r="C25">
        <f t="shared" si="0"/>
        <v>-0.12882714984646526</v>
      </c>
      <c r="D25">
        <f t="shared" si="1"/>
        <v>0.20805714472276601</v>
      </c>
      <c r="E25">
        <f t="shared" si="2"/>
        <v>7.1688842945692315</v>
      </c>
      <c r="F25">
        <f t="shared" si="3"/>
        <v>-0.33688429456923163</v>
      </c>
      <c r="H25">
        <f t="shared" si="4"/>
        <v>0.33688429456923163</v>
      </c>
    </row>
    <row r="26" spans="1:8" x14ac:dyDescent="0.25">
      <c r="A26">
        <v>7.718</v>
      </c>
      <c r="B26">
        <v>6.9371191797662579</v>
      </c>
      <c r="C26">
        <f t="shared" si="0"/>
        <v>0.78088082023374206</v>
      </c>
      <c r="D26">
        <f t="shared" si="1"/>
        <v>-2.5920022549108808E-2</v>
      </c>
      <c r="E26">
        <f t="shared" si="2"/>
        <v>6.9111991572171494</v>
      </c>
      <c r="F26">
        <f t="shared" si="3"/>
        <v>0.80680084278285058</v>
      </c>
      <c r="H26">
        <f t="shared" si="4"/>
        <v>0.80680084278285058</v>
      </c>
    </row>
    <row r="27" spans="1:8" x14ac:dyDescent="0.25">
      <c r="A27">
        <v>7.8239999999999998</v>
      </c>
      <c r="B27">
        <v>6.912801878745924</v>
      </c>
      <c r="C27">
        <f t="shared" si="0"/>
        <v>0.91119812125407584</v>
      </c>
      <c r="D27">
        <f t="shared" si="1"/>
        <v>0.1571132210310289</v>
      </c>
      <c r="E27">
        <f t="shared" si="2"/>
        <v>7.0699150997769529</v>
      </c>
      <c r="F27">
        <f t="shared" si="3"/>
        <v>0.75408490022304697</v>
      </c>
      <c r="H27">
        <f t="shared" si="4"/>
        <v>0.75408490022304697</v>
      </c>
    </row>
    <row r="28" spans="1:8" x14ac:dyDescent="0.25">
      <c r="A28">
        <v>7.9580000000000002</v>
      </c>
      <c r="B28">
        <v>6.8878824525265641</v>
      </c>
      <c r="C28">
        <f t="shared" si="0"/>
        <v>1.0701175474734361</v>
      </c>
      <c r="D28">
        <f t="shared" si="1"/>
        <v>0.18333306199632005</v>
      </c>
      <c r="E28">
        <f t="shared" si="2"/>
        <v>7.0712155145228843</v>
      </c>
      <c r="F28">
        <f t="shared" si="3"/>
        <v>0.88678448547711586</v>
      </c>
      <c r="H28">
        <f t="shared" si="4"/>
        <v>0.88678448547711586</v>
      </c>
    </row>
    <row r="29" spans="1:8" x14ac:dyDescent="0.25">
      <c r="A29">
        <v>7.2380000000000004</v>
      </c>
      <c r="B29">
        <v>6.862368285271975</v>
      </c>
      <c r="C29">
        <f t="shared" si="0"/>
        <v>0.37563171472802548</v>
      </c>
      <c r="D29">
        <f t="shared" si="1"/>
        <v>0.21530765055165535</v>
      </c>
      <c r="E29">
        <f t="shared" si="2"/>
        <v>7.0776759358236303</v>
      </c>
      <c r="F29">
        <f t="shared" si="3"/>
        <v>0.16032406417637013</v>
      </c>
      <c r="H29">
        <f t="shared" si="4"/>
        <v>0.16032406417637013</v>
      </c>
    </row>
    <row r="30" spans="1:8" x14ac:dyDescent="0.25">
      <c r="A30">
        <v>7.8460000000000001</v>
      </c>
      <c r="B30">
        <v>6.8362669373805529</v>
      </c>
      <c r="C30">
        <f t="shared" si="0"/>
        <v>1.0097330626194472</v>
      </c>
      <c r="D30">
        <f t="shared" si="1"/>
        <v>7.5577101003278718E-2</v>
      </c>
      <c r="E30">
        <f t="shared" si="2"/>
        <v>6.9118440383838315</v>
      </c>
      <c r="F30">
        <f t="shared" si="3"/>
        <v>0.93415596161616854</v>
      </c>
      <c r="H30">
        <f t="shared" si="4"/>
        <v>0.93415596161616854</v>
      </c>
    </row>
    <row r="31" spans="1:8" x14ac:dyDescent="0.25">
      <c r="A31">
        <v>7.8620000000000001</v>
      </c>
      <c r="B31">
        <v>6.8095861432449922</v>
      </c>
      <c r="C31">
        <f t="shared" si="0"/>
        <v>1.0524138567550079</v>
      </c>
      <c r="D31">
        <f t="shared" si="1"/>
        <v>0.20315829219903275</v>
      </c>
      <c r="E31">
        <f t="shared" si="2"/>
        <v>7.0127444354440254</v>
      </c>
      <c r="F31">
        <f t="shared" si="3"/>
        <v>0.84925556455597473</v>
      </c>
      <c r="H31">
        <f t="shared" si="4"/>
        <v>0.84925556455597473</v>
      </c>
    </row>
    <row r="32" spans="1:8" x14ac:dyDescent="0.25">
      <c r="A32">
        <v>7.6379999999999999</v>
      </c>
      <c r="B32">
        <v>6.7823338089604128</v>
      </c>
      <c r="C32">
        <f t="shared" si="0"/>
        <v>0.85566619103958708</v>
      </c>
      <c r="D32">
        <f t="shared" si="1"/>
        <v>0.21174566797910757</v>
      </c>
      <c r="E32">
        <f t="shared" si="2"/>
        <v>6.99407947693952</v>
      </c>
      <c r="F32">
        <f t="shared" si="3"/>
        <v>0.64392052306047987</v>
      </c>
      <c r="H32">
        <f t="shared" si="4"/>
        <v>0.64392052306047987</v>
      </c>
    </row>
    <row r="33" spans="1:8" x14ac:dyDescent="0.25">
      <c r="A33">
        <v>5.9359999999999999</v>
      </c>
      <c r="B33">
        <v>6.7545180099816182</v>
      </c>
      <c r="C33">
        <f t="shared" si="0"/>
        <v>-0.81851800998161828</v>
      </c>
      <c r="D33">
        <f t="shared" si="1"/>
        <v>0.17216003763716492</v>
      </c>
      <c r="E33">
        <f t="shared" si="2"/>
        <v>6.9266780476187835</v>
      </c>
      <c r="F33">
        <f t="shared" si="3"/>
        <v>-0.99067804761878353</v>
      </c>
      <c r="H33">
        <f t="shared" si="4"/>
        <v>0.99067804761878353</v>
      </c>
    </row>
    <row r="34" spans="1:8" x14ac:dyDescent="0.25">
      <c r="A34">
        <v>6.9039999999999999</v>
      </c>
      <c r="B34">
        <v>6.7261469887301608</v>
      </c>
      <c r="C34">
        <f t="shared" si="0"/>
        <v>0.1778530112698391</v>
      </c>
      <c r="D34">
        <f t="shared" si="1"/>
        <v>-0.16468582360830158</v>
      </c>
      <c r="E34">
        <f t="shared" si="2"/>
        <v>6.5614611651218588</v>
      </c>
      <c r="F34">
        <f t="shared" si="3"/>
        <v>0.34253883487814107</v>
      </c>
      <c r="H34">
        <f t="shared" si="4"/>
        <v>0.34253883487814107</v>
      </c>
    </row>
    <row r="35" spans="1:8" x14ac:dyDescent="0.25">
      <c r="A35">
        <v>7.34</v>
      </c>
      <c r="B35">
        <v>6.6972291521519312</v>
      </c>
      <c r="C35">
        <f t="shared" si="0"/>
        <v>0.6427708478480687</v>
      </c>
      <c r="D35">
        <f t="shared" si="1"/>
        <v>3.5784025867491624E-2</v>
      </c>
      <c r="E35">
        <f t="shared" si="2"/>
        <v>6.7330131780194229</v>
      </c>
      <c r="F35">
        <f t="shared" si="3"/>
        <v>0.60698682198057696</v>
      </c>
      <c r="H35">
        <f t="shared" si="4"/>
        <v>0.60698682198057696</v>
      </c>
    </row>
    <row r="36" spans="1:8" x14ac:dyDescent="0.25">
      <c r="A36">
        <v>7.6440000000000001</v>
      </c>
      <c r="B36">
        <v>6.6677730692260075</v>
      </c>
      <c r="C36">
        <f t="shared" si="0"/>
        <v>0.97622693077399258</v>
      </c>
      <c r="D36">
        <f t="shared" si="1"/>
        <v>0.12932549458703141</v>
      </c>
      <c r="E36">
        <f t="shared" si="2"/>
        <v>6.797098563813039</v>
      </c>
      <c r="F36">
        <f t="shared" si="3"/>
        <v>0.84690143618696112</v>
      </c>
      <c r="H36">
        <f t="shared" si="4"/>
        <v>0.84690143618696112</v>
      </c>
    </row>
    <row r="37" spans="1:8" x14ac:dyDescent="0.25">
      <c r="A37">
        <v>6.5540000000000003</v>
      </c>
      <c r="B37">
        <v>6.6377874684254756</v>
      </c>
      <c r="C37">
        <f t="shared" si="0"/>
        <v>-8.3787468425475353E-2</v>
      </c>
      <c r="D37">
        <f t="shared" si="1"/>
        <v>0.1964168584717273</v>
      </c>
      <c r="E37">
        <f t="shared" si="2"/>
        <v>6.8342043268972033</v>
      </c>
      <c r="F37">
        <f t="shared" si="3"/>
        <v>-0.28020432689720298</v>
      </c>
      <c r="H37">
        <f t="shared" si="4"/>
        <v>0.28020432689720298</v>
      </c>
    </row>
    <row r="38" spans="1:8" x14ac:dyDescent="0.25">
      <c r="A38">
        <v>7.5759999999999996</v>
      </c>
      <c r="B38">
        <v>6.6072812351309924</v>
      </c>
      <c r="C38">
        <f t="shared" si="0"/>
        <v>0.96871876486900721</v>
      </c>
      <c r="D38">
        <f t="shared" si="1"/>
        <v>-1.6858038647205639E-2</v>
      </c>
      <c r="E38">
        <f t="shared" si="2"/>
        <v>6.5904231964837869</v>
      </c>
      <c r="F38">
        <f t="shared" si="3"/>
        <v>0.98557680351621268</v>
      </c>
      <c r="H38">
        <f t="shared" si="4"/>
        <v>0.98557680351621268</v>
      </c>
    </row>
    <row r="39" spans="1:8" x14ac:dyDescent="0.25">
      <c r="A39">
        <v>7.024</v>
      </c>
      <c r="B39">
        <v>6.576263408997864</v>
      </c>
      <c r="C39">
        <f t="shared" si="0"/>
        <v>0.44773659100213603</v>
      </c>
      <c r="D39">
        <f t="shared" si="1"/>
        <v>0.19490621549164425</v>
      </c>
      <c r="E39">
        <f t="shared" si="2"/>
        <v>6.7711696244895085</v>
      </c>
      <c r="F39">
        <f t="shared" si="3"/>
        <v>0.25283037551049148</v>
      </c>
      <c r="H39">
        <f t="shared" si="4"/>
        <v>0.25283037551049148</v>
      </c>
    </row>
    <row r="40" spans="1:8" x14ac:dyDescent="0.25">
      <c r="A40">
        <v>6.2960000000000003</v>
      </c>
      <c r="B40">
        <v>6.5447431812773917</v>
      </c>
      <c r="C40">
        <f t="shared" si="0"/>
        <v>-0.24874318127739148</v>
      </c>
      <c r="D40">
        <f t="shared" si="1"/>
        <v>9.0084602109629763E-2</v>
      </c>
      <c r="E40">
        <f t="shared" si="2"/>
        <v>6.6348277833870215</v>
      </c>
      <c r="F40">
        <f t="shared" si="3"/>
        <v>-0.33882778338702124</v>
      </c>
      <c r="H40">
        <f t="shared" si="4"/>
        <v>0.33882778338702124</v>
      </c>
    </row>
    <row r="41" spans="1:8" x14ac:dyDescent="0.25">
      <c r="A41">
        <v>7.4240000000000004</v>
      </c>
      <c r="B41">
        <v>6.5127298920933132</v>
      </c>
      <c r="C41">
        <f t="shared" si="0"/>
        <v>0.91127010790668717</v>
      </c>
      <c r="D41">
        <f t="shared" si="1"/>
        <v>-5.0047128073011163E-2</v>
      </c>
      <c r="E41">
        <f t="shared" si="2"/>
        <v>6.4626827640203022</v>
      </c>
      <c r="F41">
        <f t="shared" si="3"/>
        <v>0.9613172359796982</v>
      </c>
      <c r="H41">
        <f t="shared" si="4"/>
        <v>0.9613172359796982</v>
      </c>
    </row>
    <row r="42" spans="1:8" x14ac:dyDescent="0.25">
      <c r="A42">
        <v>7.4740000000000002</v>
      </c>
      <c r="B42">
        <v>6.4802330276741147</v>
      </c>
      <c r="C42">
        <f t="shared" si="0"/>
        <v>0.99376697232588551</v>
      </c>
      <c r="D42">
        <f t="shared" si="1"/>
        <v>0.18334754571082545</v>
      </c>
      <c r="E42">
        <f t="shared" si="2"/>
        <v>6.66358057338494</v>
      </c>
      <c r="F42">
        <f t="shared" si="3"/>
        <v>0.81041942661506017</v>
      </c>
      <c r="H42">
        <f t="shared" si="4"/>
        <v>0.81041942661506017</v>
      </c>
    </row>
    <row r="43" spans="1:8" x14ac:dyDescent="0.25">
      <c r="A43">
        <v>7.48</v>
      </c>
      <c r="B43">
        <v>6.4472622175420646</v>
      </c>
      <c r="C43">
        <f t="shared" si="0"/>
        <v>1.0327377824579358</v>
      </c>
      <c r="D43">
        <f t="shared" si="1"/>
        <v>0.19994591483196816</v>
      </c>
      <c r="E43">
        <f t="shared" si="2"/>
        <v>6.6472081323740326</v>
      </c>
      <c r="F43">
        <f t="shared" si="3"/>
        <v>0.8327918676259678</v>
      </c>
      <c r="H43">
        <f t="shared" si="4"/>
        <v>0.8327918676259678</v>
      </c>
    </row>
    <row r="44" spans="1:8" x14ac:dyDescent="0.25">
      <c r="A44">
        <v>7.452</v>
      </c>
      <c r="B44">
        <v>6.4138272316597735</v>
      </c>
      <c r="C44">
        <f t="shared" si="0"/>
        <v>1.0381727683402264</v>
      </c>
      <c r="D44">
        <f t="shared" si="1"/>
        <v>0.20778684183053667</v>
      </c>
      <c r="E44">
        <f t="shared" si="2"/>
        <v>6.6216140734903099</v>
      </c>
      <c r="F44">
        <f t="shared" si="3"/>
        <v>0.83038592650969001</v>
      </c>
      <c r="H44">
        <f t="shared" si="4"/>
        <v>0.83038592650969001</v>
      </c>
    </row>
    <row r="45" spans="1:8" x14ac:dyDescent="0.25">
      <c r="A45">
        <v>7.4039999999999999</v>
      </c>
      <c r="B45">
        <v>6.3799379775351444</v>
      </c>
      <c r="C45">
        <f t="shared" si="0"/>
        <v>1.0240620224648556</v>
      </c>
      <c r="D45">
        <f t="shared" si="1"/>
        <v>0.20888036099005355</v>
      </c>
      <c r="E45">
        <f t="shared" si="2"/>
        <v>6.5888183385251979</v>
      </c>
      <c r="F45">
        <f t="shared" si="3"/>
        <v>0.81518166147480198</v>
      </c>
      <c r="H45">
        <f t="shared" si="4"/>
        <v>0.81518166147480198</v>
      </c>
    </row>
    <row r="46" spans="1:8" x14ac:dyDescent="0.25">
      <c r="A46">
        <v>7.3339999999999996</v>
      </c>
      <c r="B46">
        <v>6.3456044972855636</v>
      </c>
      <c r="C46">
        <f t="shared" si="0"/>
        <v>0.98839550271443599</v>
      </c>
      <c r="D46">
        <f t="shared" si="1"/>
        <v>0.20604127891992893</v>
      </c>
      <c r="E46">
        <f t="shared" si="2"/>
        <v>6.5516457762054925</v>
      </c>
      <c r="F46">
        <f t="shared" si="3"/>
        <v>0.78235422379450714</v>
      </c>
      <c r="H46">
        <f t="shared" si="4"/>
        <v>0.78235422379450714</v>
      </c>
    </row>
    <row r="47" spans="1:8" x14ac:dyDescent="0.25">
      <c r="A47">
        <v>7.2880000000000003</v>
      </c>
      <c r="B47">
        <v>6.3108369646622071</v>
      </c>
      <c r="C47">
        <f t="shared" si="0"/>
        <v>0.97716303533779314</v>
      </c>
      <c r="D47">
        <f t="shared" si="1"/>
        <v>0.19886517514614452</v>
      </c>
      <c r="E47">
        <f t="shared" si="2"/>
        <v>6.5097021398083514</v>
      </c>
      <c r="F47">
        <f t="shared" si="3"/>
        <v>0.77829786019164882</v>
      </c>
      <c r="H47">
        <f t="shared" si="4"/>
        <v>0.77829786019164882</v>
      </c>
    </row>
    <row r="48" spans="1:8" x14ac:dyDescent="0.25">
      <c r="A48">
        <v>7.24</v>
      </c>
      <c r="B48">
        <v>6.2756456820353357</v>
      </c>
      <c r="C48">
        <f t="shared" si="0"/>
        <v>0.96435431796466453</v>
      </c>
      <c r="D48">
        <f t="shared" si="1"/>
        <v>0.19660520270996398</v>
      </c>
      <c r="E48">
        <f t="shared" si="2"/>
        <v>6.4722508847453</v>
      </c>
      <c r="F48">
        <f t="shared" si="3"/>
        <v>0.76774911525470024</v>
      </c>
      <c r="H48">
        <f t="shared" si="4"/>
        <v>0.76774911525470024</v>
      </c>
    </row>
    <row r="49" spans="1:8" x14ac:dyDescent="0.25">
      <c r="A49">
        <v>7.2080000000000002</v>
      </c>
      <c r="B49">
        <v>6.2400410773414814</v>
      </c>
      <c r="C49">
        <f t="shared" si="0"/>
        <v>0.96795892265851879</v>
      </c>
      <c r="D49">
        <f t="shared" si="1"/>
        <v>0.19402808877449049</v>
      </c>
      <c r="E49">
        <f t="shared" si="2"/>
        <v>6.4340691661159717</v>
      </c>
      <c r="F49">
        <f t="shared" si="3"/>
        <v>0.7739308338840285</v>
      </c>
      <c r="H49">
        <f t="shared" si="4"/>
        <v>0.7739308338840285</v>
      </c>
    </row>
    <row r="50" spans="1:8" x14ac:dyDescent="0.25">
      <c r="A50">
        <v>6.9180000000000001</v>
      </c>
      <c r="B50">
        <v>6.2040337009934268</v>
      </c>
      <c r="C50">
        <f t="shared" si="0"/>
        <v>0.71396629900657338</v>
      </c>
      <c r="D50">
        <f t="shared" si="1"/>
        <v>0.19475333523889396</v>
      </c>
      <c r="E50">
        <f t="shared" si="2"/>
        <v>6.3987870362323207</v>
      </c>
      <c r="F50">
        <f t="shared" si="3"/>
        <v>0.51921296376767945</v>
      </c>
      <c r="H50">
        <f t="shared" si="4"/>
        <v>0.51921296376767945</v>
      </c>
    </row>
    <row r="51" spans="1:8" x14ac:dyDescent="0.25">
      <c r="A51">
        <v>6.258</v>
      </c>
      <c r="B51">
        <v>6.1676342227538852</v>
      </c>
      <c r="C51">
        <f t="shared" si="0"/>
        <v>9.0365777246114831E-2</v>
      </c>
      <c r="D51">
        <f t="shared" si="1"/>
        <v>0.14365001936012256</v>
      </c>
      <c r="E51">
        <f t="shared" si="2"/>
        <v>6.3112842421140076</v>
      </c>
      <c r="F51">
        <f t="shared" si="3"/>
        <v>-5.3284242114007618E-2</v>
      </c>
      <c r="H51">
        <f t="shared" si="4"/>
        <v>5.3284242114007618E-2</v>
      </c>
    </row>
    <row r="52" spans="1:8" x14ac:dyDescent="0.25">
      <c r="A52">
        <v>5.6859999999999999</v>
      </c>
      <c r="B52">
        <v>6.1308534285738245</v>
      </c>
      <c r="C52">
        <f t="shared" si="0"/>
        <v>-0.44485342857382459</v>
      </c>
      <c r="D52">
        <f t="shared" si="1"/>
        <v>1.8181594381918305E-2</v>
      </c>
      <c r="E52">
        <f t="shared" si="2"/>
        <v>6.1490350229557427</v>
      </c>
      <c r="F52">
        <f t="shared" si="3"/>
        <v>-0.46303502295574273</v>
      </c>
      <c r="H52">
        <f t="shared" si="4"/>
        <v>0.46303502295574273</v>
      </c>
    </row>
    <row r="53" spans="1:8" x14ac:dyDescent="0.25">
      <c r="A53">
        <v>6.226</v>
      </c>
      <c r="B53">
        <v>6.0937022173963546</v>
      </c>
      <c r="C53">
        <f t="shared" si="0"/>
        <v>0.13229778260364533</v>
      </c>
      <c r="D53">
        <f t="shared" si="1"/>
        <v>-8.9504509829053502E-2</v>
      </c>
      <c r="E53">
        <f t="shared" si="2"/>
        <v>6.0041977075673012</v>
      </c>
      <c r="F53">
        <f t="shared" si="3"/>
        <v>0.22180229243269878</v>
      </c>
      <c r="H53">
        <f t="shared" si="4"/>
        <v>0.22180229243269878</v>
      </c>
    </row>
    <row r="54" spans="1:8" x14ac:dyDescent="0.25">
      <c r="A54">
        <v>7.0659999999999998</v>
      </c>
      <c r="B54">
        <v>6.0561915979271363</v>
      </c>
      <c r="C54">
        <f t="shared" si="0"/>
        <v>1.0098084020728635</v>
      </c>
      <c r="D54">
        <f t="shared" si="1"/>
        <v>2.661831385985344E-2</v>
      </c>
      <c r="E54">
        <f t="shared" si="2"/>
        <v>6.08280991178699</v>
      </c>
      <c r="F54">
        <f t="shared" si="3"/>
        <v>0.98319008821300979</v>
      </c>
      <c r="H54">
        <f t="shared" si="4"/>
        <v>0.98319008821300979</v>
      </c>
    </row>
    <row r="55" spans="1:8" x14ac:dyDescent="0.25">
      <c r="A55">
        <v>5.806</v>
      </c>
      <c r="B55">
        <v>6.0183326853722638</v>
      </c>
      <c r="C55">
        <f t="shared" si="0"/>
        <v>-0.2123326853722638</v>
      </c>
      <c r="D55">
        <f t="shared" si="1"/>
        <v>0.20317345049706012</v>
      </c>
      <c r="E55">
        <f t="shared" si="2"/>
        <v>6.2215061358693236</v>
      </c>
      <c r="F55">
        <f t="shared" si="3"/>
        <v>-0.4155061358693235</v>
      </c>
      <c r="H55">
        <f t="shared" si="4"/>
        <v>0.4155061358693235</v>
      </c>
    </row>
    <row r="56" spans="1:8" x14ac:dyDescent="0.25">
      <c r="A56">
        <v>5.8620000000000001</v>
      </c>
      <c r="B56">
        <v>5.98013669814459</v>
      </c>
      <c r="C56">
        <f t="shared" si="0"/>
        <v>-0.11813669814458994</v>
      </c>
      <c r="D56">
        <f t="shared" si="1"/>
        <v>-4.2721336296899476E-2</v>
      </c>
      <c r="E56">
        <f t="shared" si="2"/>
        <v>5.9374153618476901</v>
      </c>
      <c r="F56">
        <f t="shared" si="3"/>
        <v>-7.5415361847690043E-2</v>
      </c>
      <c r="H56">
        <f t="shared" si="4"/>
        <v>7.5415361847690043E-2</v>
      </c>
    </row>
    <row r="57" spans="1:8" x14ac:dyDescent="0.25">
      <c r="A57">
        <v>6.6159999999999997</v>
      </c>
      <c r="B57">
        <v>5.9416149545394656</v>
      </c>
      <c r="C57">
        <f t="shared" si="0"/>
        <v>0.67438504546053402</v>
      </c>
      <c r="D57">
        <f t="shared" si="1"/>
        <v>-2.3769103666691493E-2</v>
      </c>
      <c r="E57">
        <f t="shared" si="2"/>
        <v>5.9178458508727738</v>
      </c>
      <c r="F57">
        <f t="shared" si="3"/>
        <v>0.69815414912722584</v>
      </c>
      <c r="H57">
        <f t="shared" si="4"/>
        <v>0.69815414912722584</v>
      </c>
    </row>
    <row r="58" spans="1:8" x14ac:dyDescent="0.25">
      <c r="A58">
        <v>6.5860000000000003</v>
      </c>
      <c r="B58">
        <v>5.9027788693808905</v>
      </c>
      <c r="C58">
        <f t="shared" si="0"/>
        <v>0.68322113061910983</v>
      </c>
      <c r="D58">
        <f t="shared" si="1"/>
        <v>0.13568627114665943</v>
      </c>
      <c r="E58">
        <f t="shared" si="2"/>
        <v>6.03846514052755</v>
      </c>
      <c r="F58">
        <f t="shared" si="3"/>
        <v>0.54753485947245029</v>
      </c>
      <c r="H58">
        <f t="shared" si="4"/>
        <v>0.54753485947245029</v>
      </c>
    </row>
    <row r="59" spans="1:8" x14ac:dyDescent="0.25">
      <c r="A59">
        <v>5.556</v>
      </c>
      <c r="B59">
        <v>5.8636399506390475</v>
      </c>
      <c r="C59">
        <f t="shared" si="0"/>
        <v>-0.30763995063904748</v>
      </c>
      <c r="D59">
        <f t="shared" si="1"/>
        <v>0.1374640914805649</v>
      </c>
      <c r="E59">
        <f t="shared" si="2"/>
        <v>6.0011040421196125</v>
      </c>
      <c r="F59">
        <f t="shared" si="3"/>
        <v>-0.44510404211961241</v>
      </c>
      <c r="H59">
        <f t="shared" si="4"/>
        <v>0.44510404211961241</v>
      </c>
    </row>
    <row r="60" spans="1:8" x14ac:dyDescent="0.25">
      <c r="A60">
        <v>5.41</v>
      </c>
      <c r="B60">
        <v>5.8242097960202468</v>
      </c>
      <c r="C60">
        <f t="shared" si="0"/>
        <v>-0.41420979602024666</v>
      </c>
      <c r="D60">
        <f t="shared" si="1"/>
        <v>-6.1897158068576347E-2</v>
      </c>
      <c r="E60">
        <f t="shared" si="2"/>
        <v>5.7623126379516707</v>
      </c>
      <c r="F60">
        <f t="shared" si="3"/>
        <v>-0.35231263795167056</v>
      </c>
      <c r="H60">
        <f t="shared" si="4"/>
        <v>0.35231263795167056</v>
      </c>
    </row>
    <row r="61" spans="1:8" x14ac:dyDescent="0.25">
      <c r="A61">
        <v>4.6100000000000003</v>
      </c>
      <c r="B61">
        <v>5.7845000895302734</v>
      </c>
      <c r="C61">
        <f t="shared" si="0"/>
        <v>-1.1745000895302731</v>
      </c>
      <c r="D61">
        <f t="shared" si="1"/>
        <v>-8.3339010959273624E-2</v>
      </c>
      <c r="E61">
        <f t="shared" si="2"/>
        <v>5.7011610785709994</v>
      </c>
      <c r="F61">
        <f t="shared" si="3"/>
        <v>-1.0911610785709991</v>
      </c>
      <c r="H61">
        <f t="shared" si="4"/>
        <v>1.0911610785709991</v>
      </c>
    </row>
    <row r="62" spans="1:8" x14ac:dyDescent="0.25">
      <c r="A62">
        <v>6.4279999999999999</v>
      </c>
      <c r="B62">
        <v>5.7445225980121668</v>
      </c>
      <c r="C62">
        <f t="shared" si="0"/>
        <v>0.68347740198783313</v>
      </c>
      <c r="D62">
        <f t="shared" si="1"/>
        <v>-0.23630941801349092</v>
      </c>
      <c r="E62">
        <f t="shared" si="2"/>
        <v>5.508213179998676</v>
      </c>
      <c r="F62">
        <f t="shared" si="3"/>
        <v>0.91978682000132395</v>
      </c>
      <c r="H62">
        <f t="shared" si="4"/>
        <v>0.91978682000132395</v>
      </c>
    </row>
    <row r="63" spans="1:8" x14ac:dyDescent="0.25">
      <c r="A63">
        <v>6.2919999999999998</v>
      </c>
      <c r="B63">
        <v>5.70428916765945</v>
      </c>
      <c r="C63">
        <f t="shared" si="0"/>
        <v>0.58771083234054977</v>
      </c>
      <c r="D63">
        <f t="shared" si="1"/>
        <v>0.13751565327995202</v>
      </c>
      <c r="E63">
        <f t="shared" si="2"/>
        <v>5.8418048209394025</v>
      </c>
      <c r="F63">
        <f t="shared" si="3"/>
        <v>0.45019517906059736</v>
      </c>
      <c r="H63">
        <f t="shared" si="4"/>
        <v>0.45019517906059736</v>
      </c>
    </row>
    <row r="64" spans="1:8" x14ac:dyDescent="0.25">
      <c r="A64">
        <v>5.9619999999999997</v>
      </c>
      <c r="B64">
        <v>5.6638117205058425</v>
      </c>
      <c r="C64">
        <f t="shared" si="0"/>
        <v>0.29818827949415727</v>
      </c>
      <c r="D64">
        <f t="shared" si="1"/>
        <v>0.11824741946691861</v>
      </c>
      <c r="E64">
        <f t="shared" si="2"/>
        <v>5.7820591399727608</v>
      </c>
      <c r="F64">
        <f t="shared" si="3"/>
        <v>0.17994086002723897</v>
      </c>
      <c r="H64">
        <f t="shared" si="4"/>
        <v>0.17994086002723897</v>
      </c>
    </row>
    <row r="65" spans="1:8" x14ac:dyDescent="0.25">
      <c r="A65">
        <v>5.3440000000000003</v>
      </c>
      <c r="B65">
        <v>5.6231022508925133</v>
      </c>
      <c r="C65">
        <f t="shared" si="0"/>
        <v>-0.27910225089251295</v>
      </c>
      <c r="D65">
        <f t="shared" si="1"/>
        <v>5.9995481834224443E-2</v>
      </c>
      <c r="E65">
        <f t="shared" si="2"/>
        <v>5.683097732726738</v>
      </c>
      <c r="F65">
        <f t="shared" si="3"/>
        <v>-0.33909773272673771</v>
      </c>
      <c r="H65">
        <f t="shared" si="4"/>
        <v>0.33909773272673771</v>
      </c>
    </row>
    <row r="66" spans="1:8" x14ac:dyDescent="0.25">
      <c r="A66">
        <v>6.5380000000000003</v>
      </c>
      <c r="B66">
        <v>5.5821728219138889</v>
      </c>
      <c r="C66">
        <f t="shared" si="0"/>
        <v>0.9558271780861114</v>
      </c>
      <c r="D66">
        <f t="shared" si="1"/>
        <v>-5.6155372879573603E-2</v>
      </c>
      <c r="E66">
        <f t="shared" si="2"/>
        <v>5.526017449034315</v>
      </c>
      <c r="F66">
        <f t="shared" si="3"/>
        <v>1.0119825509656852</v>
      </c>
      <c r="H66">
        <f t="shared" si="4"/>
        <v>1.0119825509656852</v>
      </c>
    </row>
    <row r="67" spans="1:8" x14ac:dyDescent="0.25">
      <c r="A67">
        <v>6.4820000000000002</v>
      </c>
      <c r="B67">
        <v>5.5410355618431062</v>
      </c>
      <c r="C67">
        <f t="shared" ref="C67:C130" si="5">A67-B67</f>
        <v>0.94096443815689401</v>
      </c>
      <c r="D67">
        <f t="shared" si="1"/>
        <v>0.19231242823092559</v>
      </c>
      <c r="E67">
        <f t="shared" si="2"/>
        <v>5.7333479900740318</v>
      </c>
      <c r="F67">
        <f t="shared" si="3"/>
        <v>0.74865200992596836</v>
      </c>
      <c r="H67">
        <f t="shared" si="4"/>
        <v>0.74865200992596836</v>
      </c>
    </row>
    <row r="68" spans="1:8" x14ac:dyDescent="0.25">
      <c r="A68">
        <v>6.4059999999999997</v>
      </c>
      <c r="B68">
        <v>5.4997026605381398</v>
      </c>
      <c r="C68">
        <f t="shared" si="5"/>
        <v>0.90629733946185986</v>
      </c>
      <c r="D68">
        <f t="shared" ref="D68:D131" si="6">$J$1*C67</f>
        <v>0.18932204495716706</v>
      </c>
      <c r="E68">
        <f t="shared" ref="E68:E131" si="7">B68+D68</f>
        <v>5.6890247054953065</v>
      </c>
      <c r="F68">
        <f t="shared" ref="F68:F131" si="8">A68-E68</f>
        <v>0.71697529450469322</v>
      </c>
      <c r="H68">
        <f t="shared" ref="H68:H131" si="9">ABS(F68)</f>
        <v>0.71697529450469322</v>
      </c>
    </row>
    <row r="69" spans="1:8" x14ac:dyDescent="0.25">
      <c r="A69">
        <v>6.1319999999999997</v>
      </c>
      <c r="B69">
        <v>5.4581863658296816</v>
      </c>
      <c r="C69">
        <f t="shared" si="5"/>
        <v>0.67381363417031803</v>
      </c>
      <c r="D69">
        <f t="shared" si="6"/>
        <v>0.18234702469972619</v>
      </c>
      <c r="E69">
        <f t="shared" si="7"/>
        <v>5.6405333905294075</v>
      </c>
      <c r="F69">
        <f t="shared" si="8"/>
        <v>0.49146660947059218</v>
      </c>
      <c r="H69">
        <f t="shared" si="9"/>
        <v>0.49146660947059218</v>
      </c>
    </row>
    <row r="70" spans="1:8" x14ac:dyDescent="0.25">
      <c r="A70">
        <v>1.6240000000000001</v>
      </c>
      <c r="B70">
        <v>5.4164989798918501</v>
      </c>
      <c r="C70">
        <f t="shared" si="5"/>
        <v>-3.79249897989185</v>
      </c>
      <c r="D70">
        <f t="shared" si="6"/>
        <v>0.13557130319506799</v>
      </c>
      <c r="E70">
        <f t="shared" si="7"/>
        <v>5.552070283086918</v>
      </c>
      <c r="F70">
        <f t="shared" si="8"/>
        <v>-3.9280702830869179</v>
      </c>
      <c r="H70">
        <f t="shared" si="9"/>
        <v>3.9280702830869179</v>
      </c>
    </row>
    <row r="71" spans="1:8" x14ac:dyDescent="0.25">
      <c r="A71">
        <v>5.1760000000000002</v>
      </c>
      <c r="B71">
        <v>5.3746528555967865</v>
      </c>
      <c r="C71">
        <f t="shared" si="5"/>
        <v>-0.19865285559678636</v>
      </c>
      <c r="D71">
        <f t="shared" si="6"/>
        <v>-0.7630507947542402</v>
      </c>
      <c r="E71">
        <f t="shared" si="7"/>
        <v>4.6116020608425465</v>
      </c>
      <c r="F71">
        <f t="shared" si="8"/>
        <v>0.56439793915745362</v>
      </c>
      <c r="H71">
        <f t="shared" si="9"/>
        <v>0.56439793915745362</v>
      </c>
    </row>
    <row r="72" spans="1:8" x14ac:dyDescent="0.25">
      <c r="A72">
        <v>5.8620000000000001</v>
      </c>
      <c r="B72">
        <v>5.3326603928542307</v>
      </c>
      <c r="C72">
        <f t="shared" si="5"/>
        <v>0.52933960714576944</v>
      </c>
      <c r="D72">
        <f t="shared" si="6"/>
        <v>-3.9968954546073417E-2</v>
      </c>
      <c r="E72">
        <f t="shared" si="7"/>
        <v>5.2926914383081574</v>
      </c>
      <c r="F72">
        <f t="shared" si="8"/>
        <v>0.56930856169184274</v>
      </c>
      <c r="H72">
        <f t="shared" si="9"/>
        <v>0.56930856169184274</v>
      </c>
    </row>
    <row r="73" spans="1:8" x14ac:dyDescent="0.25">
      <c r="A73">
        <v>3.97</v>
      </c>
      <c r="B73">
        <v>5.290534034937167</v>
      </c>
      <c r="C73">
        <f t="shared" si="5"/>
        <v>-1.3205340349371668</v>
      </c>
      <c r="D73">
        <f t="shared" si="6"/>
        <v>0.1065031289577288</v>
      </c>
      <c r="E73">
        <f t="shared" si="7"/>
        <v>5.397037163894896</v>
      </c>
      <c r="F73">
        <f t="shared" si="8"/>
        <v>-1.4270371638948958</v>
      </c>
      <c r="H73">
        <f t="shared" si="9"/>
        <v>1.4270371638948958</v>
      </c>
    </row>
    <row r="74" spans="1:8" x14ac:dyDescent="0.25">
      <c r="A74">
        <v>1.5760000000000001</v>
      </c>
      <c r="B74">
        <v>5.248286264794606</v>
      </c>
      <c r="C74">
        <f t="shared" si="5"/>
        <v>-3.672286264794606</v>
      </c>
      <c r="D74">
        <f t="shared" si="6"/>
        <v>-0.26569144782935794</v>
      </c>
      <c r="E74">
        <f t="shared" si="7"/>
        <v>4.9825948169652481</v>
      </c>
      <c r="F74">
        <f t="shared" si="8"/>
        <v>-3.406594816965248</v>
      </c>
      <c r="H74">
        <f t="shared" si="9"/>
        <v>3.406594816965248</v>
      </c>
    </row>
    <row r="75" spans="1:8" x14ac:dyDescent="0.25">
      <c r="A75">
        <v>1.5620000000000001</v>
      </c>
      <c r="B75">
        <v>5.2059296013526231</v>
      </c>
      <c r="C75">
        <f t="shared" si="5"/>
        <v>-3.6439296013526228</v>
      </c>
      <c r="D75">
        <f t="shared" si="6"/>
        <v>-0.73886399647667467</v>
      </c>
      <c r="E75">
        <f t="shared" si="7"/>
        <v>4.4670656048759483</v>
      </c>
      <c r="F75">
        <f t="shared" si="8"/>
        <v>-2.905065604875948</v>
      </c>
      <c r="H75">
        <f t="shared" si="9"/>
        <v>2.905065604875948</v>
      </c>
    </row>
    <row r="76" spans="1:8" x14ac:dyDescent="0.25">
      <c r="A76">
        <v>5.7640000000000002</v>
      </c>
      <c r="B76">
        <v>5.1634765958047284</v>
      </c>
      <c r="C76">
        <f t="shared" si="5"/>
        <v>0.60052340419527184</v>
      </c>
      <c r="D76">
        <f t="shared" si="6"/>
        <v>-0.73315863579214768</v>
      </c>
      <c r="E76">
        <f t="shared" si="7"/>
        <v>4.430317960012581</v>
      </c>
      <c r="F76">
        <f t="shared" si="8"/>
        <v>1.3336820399874192</v>
      </c>
      <c r="H76">
        <f t="shared" si="9"/>
        <v>1.3336820399874192</v>
      </c>
    </row>
    <row r="77" spans="1:8" x14ac:dyDescent="0.25">
      <c r="A77">
        <v>5.57</v>
      </c>
      <c r="B77">
        <v>5.1209398278926761</v>
      </c>
      <c r="C77">
        <f t="shared" si="5"/>
        <v>0.44906017210732418</v>
      </c>
      <c r="D77">
        <f t="shared" si="6"/>
        <v>0.12082530892408869</v>
      </c>
      <c r="E77">
        <f t="shared" si="7"/>
        <v>5.241765136816765</v>
      </c>
      <c r="F77">
        <f t="shared" si="8"/>
        <v>0.32823486318323525</v>
      </c>
      <c r="H77">
        <f t="shared" si="9"/>
        <v>0.32823486318323525</v>
      </c>
    </row>
    <row r="78" spans="1:8" x14ac:dyDescent="0.25">
      <c r="A78">
        <v>5.35</v>
      </c>
      <c r="B78">
        <v>5.0783319021788174</v>
      </c>
      <c r="C78">
        <f t="shared" si="5"/>
        <v>0.27166809782118229</v>
      </c>
      <c r="D78">
        <f t="shared" si="6"/>
        <v>9.0350906627993624E-2</v>
      </c>
      <c r="E78">
        <f t="shared" si="7"/>
        <v>5.1686828088068113</v>
      </c>
      <c r="F78">
        <f t="shared" si="8"/>
        <v>0.18131719119318834</v>
      </c>
      <c r="H78">
        <f t="shared" si="9"/>
        <v>0.18131719119318834</v>
      </c>
    </row>
    <row r="79" spans="1:8" x14ac:dyDescent="0.25">
      <c r="A79">
        <v>2.1219999999999999</v>
      </c>
      <c r="B79">
        <v>5.0356654443110944</v>
      </c>
      <c r="C79">
        <f t="shared" si="5"/>
        <v>-2.9136654443110945</v>
      </c>
      <c r="D79">
        <f t="shared" si="6"/>
        <v>5.465962128162187E-2</v>
      </c>
      <c r="E79">
        <f t="shared" si="7"/>
        <v>5.0903250655927161</v>
      </c>
      <c r="F79">
        <f t="shared" si="8"/>
        <v>-2.9683250655927162</v>
      </c>
      <c r="H79">
        <f t="shared" si="9"/>
        <v>2.9683250655927162</v>
      </c>
    </row>
    <row r="80" spans="1:8" x14ac:dyDescent="0.25">
      <c r="A80">
        <v>3.698</v>
      </c>
      <c r="B80">
        <v>4.9929530972817933</v>
      </c>
      <c r="C80">
        <f t="shared" si="5"/>
        <v>-1.2949530972817933</v>
      </c>
      <c r="D80">
        <f t="shared" si="6"/>
        <v>-0.58622948739539216</v>
      </c>
      <c r="E80">
        <f t="shared" si="7"/>
        <v>4.4067236098864013</v>
      </c>
      <c r="F80">
        <f t="shared" si="8"/>
        <v>-0.70872360988640137</v>
      </c>
      <c r="H80">
        <f t="shared" si="9"/>
        <v>0.70872360988640137</v>
      </c>
    </row>
    <row r="81" spans="1:8" x14ac:dyDescent="0.25">
      <c r="A81">
        <v>5.7919999999999998</v>
      </c>
      <c r="B81">
        <v>4.9502075176811449</v>
      </c>
      <c r="C81">
        <f t="shared" si="5"/>
        <v>0.84179248231885495</v>
      </c>
      <c r="D81">
        <f t="shared" si="6"/>
        <v>-0.26054456317309682</v>
      </c>
      <c r="E81">
        <f t="shared" si="7"/>
        <v>4.6896629545080479</v>
      </c>
      <c r="F81">
        <f t="shared" si="8"/>
        <v>1.1023370454919519</v>
      </c>
      <c r="H81">
        <f t="shared" si="9"/>
        <v>1.1023370454919519</v>
      </c>
    </row>
    <row r="82" spans="1:8" x14ac:dyDescent="0.25">
      <c r="A82">
        <v>4.3159999999999998</v>
      </c>
      <c r="B82">
        <v>4.9074413719469101</v>
      </c>
      <c r="C82">
        <f t="shared" si="5"/>
        <v>-0.59144137194691027</v>
      </c>
      <c r="D82">
        <f t="shared" si="6"/>
        <v>0.16936864744255362</v>
      </c>
      <c r="E82">
        <f t="shared" si="7"/>
        <v>5.0768100193894634</v>
      </c>
      <c r="F82">
        <f t="shared" si="8"/>
        <v>-0.76081001938946358</v>
      </c>
      <c r="H82">
        <f t="shared" si="9"/>
        <v>0.76081001938946358</v>
      </c>
    </row>
    <row r="83" spans="1:8" x14ac:dyDescent="0.25">
      <c r="A83">
        <v>3.242</v>
      </c>
      <c r="B83">
        <v>4.8646673326110399</v>
      </c>
      <c r="C83">
        <f t="shared" si="5"/>
        <v>-1.6226673326110399</v>
      </c>
      <c r="D83">
        <f t="shared" si="6"/>
        <v>-0.11899800403571834</v>
      </c>
      <c r="E83">
        <f t="shared" si="7"/>
        <v>4.745669328575322</v>
      </c>
      <c r="F83">
        <f t="shared" si="8"/>
        <v>-1.503669328575322</v>
      </c>
      <c r="H83">
        <f t="shared" si="9"/>
        <v>1.503669328575322</v>
      </c>
    </row>
    <row r="84" spans="1:8" x14ac:dyDescent="0.25">
      <c r="A84">
        <v>5.4960000000000004</v>
      </c>
      <c r="B84">
        <v>4.8218980745445288</v>
      </c>
      <c r="C84">
        <f t="shared" si="5"/>
        <v>0.67410192545547165</v>
      </c>
      <c r="D84">
        <f t="shared" si="6"/>
        <v>-0.32648066732134123</v>
      </c>
      <c r="E84">
        <f t="shared" si="7"/>
        <v>4.4954174072231874</v>
      </c>
      <c r="F84">
        <f t="shared" si="8"/>
        <v>1.0005825927768131</v>
      </c>
      <c r="H84">
        <f t="shared" si="9"/>
        <v>1.0005825927768131</v>
      </c>
    </row>
    <row r="85" spans="1:8" x14ac:dyDescent="0.25">
      <c r="A85">
        <v>5.6059999999999999</v>
      </c>
      <c r="B85">
        <v>4.7791462712015775</v>
      </c>
      <c r="C85">
        <f t="shared" si="5"/>
        <v>0.82685372879842234</v>
      </c>
      <c r="D85">
        <f t="shared" si="6"/>
        <v>0.13562930740164089</v>
      </c>
      <c r="E85">
        <f t="shared" si="7"/>
        <v>4.9147755786032183</v>
      </c>
      <c r="F85">
        <f t="shared" si="8"/>
        <v>0.69122442139678153</v>
      </c>
      <c r="H85">
        <f t="shared" si="9"/>
        <v>0.69122442139678153</v>
      </c>
    </row>
    <row r="86" spans="1:8" x14ac:dyDescent="0.25">
      <c r="A86">
        <v>4.2759999999999998</v>
      </c>
      <c r="B86">
        <v>4.7364245908641758</v>
      </c>
      <c r="C86">
        <f t="shared" si="5"/>
        <v>-0.46042459086417598</v>
      </c>
      <c r="D86">
        <f t="shared" si="6"/>
        <v>0.16636297023424257</v>
      </c>
      <c r="E86">
        <f t="shared" si="7"/>
        <v>4.9027875610984184</v>
      </c>
      <c r="F86">
        <f t="shared" si="8"/>
        <v>-0.6267875610984186</v>
      </c>
      <c r="H86">
        <f t="shared" si="9"/>
        <v>0.6267875610984186</v>
      </c>
    </row>
    <row r="87" spans="1:8" x14ac:dyDescent="0.25">
      <c r="A87">
        <v>3.2480000000000002</v>
      </c>
      <c r="B87">
        <v>4.6937456928882186</v>
      </c>
      <c r="C87">
        <f t="shared" si="5"/>
        <v>-1.4457456928882184</v>
      </c>
      <c r="D87">
        <f t="shared" si="6"/>
        <v>-9.2637427681872206E-2</v>
      </c>
      <c r="E87">
        <f t="shared" si="7"/>
        <v>4.6011082652063466</v>
      </c>
      <c r="F87">
        <f t="shared" si="8"/>
        <v>-1.3531082652063464</v>
      </c>
      <c r="H87">
        <f t="shared" si="9"/>
        <v>1.3531082652063464</v>
      </c>
    </row>
    <row r="88" spans="1:8" x14ac:dyDescent="0.25">
      <c r="A88">
        <v>1.4019999999999999</v>
      </c>
      <c r="B88">
        <v>4.6511222239522603</v>
      </c>
      <c r="C88">
        <f t="shared" si="5"/>
        <v>-3.2491222239522601</v>
      </c>
      <c r="D88">
        <f t="shared" si="6"/>
        <v>-0.29088403340910951</v>
      </c>
      <c r="E88">
        <f t="shared" si="7"/>
        <v>4.3602381905431509</v>
      </c>
      <c r="F88">
        <f t="shared" si="8"/>
        <v>-2.9582381905431507</v>
      </c>
      <c r="H88">
        <f t="shared" si="9"/>
        <v>2.9582381905431507</v>
      </c>
    </row>
    <row r="89" spans="1:8" x14ac:dyDescent="0.25">
      <c r="A89">
        <v>4.7060000000000004</v>
      </c>
      <c r="B89">
        <v>4.6085668143100378</v>
      </c>
      <c r="C89">
        <f t="shared" si="5"/>
        <v>9.743318568996262E-2</v>
      </c>
      <c r="D89">
        <f t="shared" si="6"/>
        <v>-0.65372339145919467</v>
      </c>
      <c r="E89">
        <f t="shared" si="7"/>
        <v>3.9548434228508431</v>
      </c>
      <c r="F89">
        <f t="shared" si="8"/>
        <v>0.75115657714915729</v>
      </c>
      <c r="H89">
        <f t="shared" si="9"/>
        <v>0.75115657714915729</v>
      </c>
    </row>
    <row r="90" spans="1:8" x14ac:dyDescent="0.25">
      <c r="A90">
        <v>5.1280000000000001</v>
      </c>
      <c r="B90">
        <v>4.5660920740478481</v>
      </c>
      <c r="C90">
        <f t="shared" si="5"/>
        <v>0.561907925952152</v>
      </c>
      <c r="D90">
        <f t="shared" si="6"/>
        <v>1.960355696082048E-2</v>
      </c>
      <c r="E90">
        <f t="shared" si="7"/>
        <v>4.5856956310086687</v>
      </c>
      <c r="F90">
        <f t="shared" si="8"/>
        <v>0.54230436899133139</v>
      </c>
      <c r="H90">
        <f t="shared" si="9"/>
        <v>0.54230436899133139</v>
      </c>
    </row>
    <row r="91" spans="1:8" x14ac:dyDescent="0.25">
      <c r="A91">
        <v>4.1639999999999997</v>
      </c>
      <c r="B91">
        <v>4.5237105893479113</v>
      </c>
      <c r="C91">
        <f t="shared" si="5"/>
        <v>-0.35971058934791156</v>
      </c>
      <c r="D91">
        <f t="shared" si="6"/>
        <v>0.11305587470157298</v>
      </c>
      <c r="E91">
        <f t="shared" si="7"/>
        <v>4.6367664640494839</v>
      </c>
      <c r="F91">
        <f t="shared" si="8"/>
        <v>-0.47276646404948419</v>
      </c>
      <c r="H91">
        <f t="shared" si="9"/>
        <v>0.47276646404948419</v>
      </c>
    </row>
    <row r="92" spans="1:8" x14ac:dyDescent="0.25">
      <c r="A92">
        <v>4.8499999999999996</v>
      </c>
      <c r="B92">
        <v>4.4814349187588114</v>
      </c>
      <c r="C92">
        <f t="shared" si="5"/>
        <v>0.36856508124118825</v>
      </c>
      <c r="D92">
        <f t="shared" si="6"/>
        <v>-7.2373770576799806E-2</v>
      </c>
      <c r="E92">
        <f t="shared" si="7"/>
        <v>4.4090611481820119</v>
      </c>
      <c r="F92">
        <f t="shared" si="8"/>
        <v>0.44093885181798775</v>
      </c>
      <c r="H92">
        <f t="shared" si="9"/>
        <v>0.44093885181798775</v>
      </c>
    </row>
    <row r="93" spans="1:8" x14ac:dyDescent="0.25">
      <c r="A93">
        <v>4.0739999999999998</v>
      </c>
      <c r="B93">
        <v>4.4392775894741279</v>
      </c>
      <c r="C93">
        <f t="shared" si="5"/>
        <v>-0.36527758947412803</v>
      </c>
      <c r="D93">
        <f t="shared" si="6"/>
        <v>7.4155294345727069E-2</v>
      </c>
      <c r="E93">
        <f t="shared" si="7"/>
        <v>4.5134328838198545</v>
      </c>
      <c r="F93">
        <f t="shared" si="8"/>
        <v>-0.43943288381985468</v>
      </c>
      <c r="H93">
        <f t="shared" si="9"/>
        <v>0.43943288381985468</v>
      </c>
    </row>
    <row r="94" spans="1:8" x14ac:dyDescent="0.25">
      <c r="A94">
        <v>5.0679999999999996</v>
      </c>
      <c r="B94">
        <v>4.3972510936203566</v>
      </c>
      <c r="C94">
        <f t="shared" si="5"/>
        <v>0.67074890637964302</v>
      </c>
      <c r="D94">
        <f t="shared" si="6"/>
        <v>-7.3493851002194549E-2</v>
      </c>
      <c r="E94">
        <f t="shared" si="7"/>
        <v>4.3237572426181616</v>
      </c>
      <c r="F94">
        <f t="shared" si="8"/>
        <v>0.74424275738183798</v>
      </c>
      <c r="H94">
        <f t="shared" si="9"/>
        <v>0.74424275738183798</v>
      </c>
    </row>
    <row r="95" spans="1:8" x14ac:dyDescent="0.25">
      <c r="A95">
        <v>4.4640000000000004</v>
      </c>
      <c r="B95">
        <v>4.3553678845552257</v>
      </c>
      <c r="C95">
        <f t="shared" si="5"/>
        <v>0.10863211544477469</v>
      </c>
      <c r="D95">
        <f t="shared" si="6"/>
        <v>0.13495467996358418</v>
      </c>
      <c r="E95">
        <f t="shared" si="7"/>
        <v>4.4903225645188103</v>
      </c>
      <c r="F95">
        <f t="shared" si="8"/>
        <v>-2.6322564518809877E-2</v>
      </c>
      <c r="H95">
        <f t="shared" si="9"/>
        <v>2.6322564518809877E-2</v>
      </c>
    </row>
    <row r="96" spans="1:8" x14ac:dyDescent="0.25">
      <c r="A96">
        <v>4.4459999999999997</v>
      </c>
      <c r="B96">
        <v>4.3136403731774955</v>
      </c>
      <c r="C96">
        <f t="shared" si="5"/>
        <v>0.13235962682250424</v>
      </c>
      <c r="D96">
        <f t="shared" si="6"/>
        <v>2.1856781627488667E-2</v>
      </c>
      <c r="E96">
        <f t="shared" si="7"/>
        <v>4.3354971548049841</v>
      </c>
      <c r="F96">
        <f t="shared" si="8"/>
        <v>0.11050284519501563</v>
      </c>
      <c r="H96">
        <f t="shared" si="9"/>
        <v>0.11050284519501563</v>
      </c>
    </row>
    <row r="97" spans="1:8" x14ac:dyDescent="0.25">
      <c r="A97">
        <v>4.742</v>
      </c>
      <c r="B97">
        <v>4.2720809242493392</v>
      </c>
      <c r="C97">
        <f t="shared" si="5"/>
        <v>0.46991907575066083</v>
      </c>
      <c r="D97">
        <f t="shared" si="6"/>
        <v>2.6630756916687853E-2</v>
      </c>
      <c r="E97">
        <f t="shared" si="7"/>
        <v>4.2987116811660266</v>
      </c>
      <c r="F97">
        <f t="shared" si="8"/>
        <v>0.44328831883397335</v>
      </c>
      <c r="H97">
        <f t="shared" si="9"/>
        <v>0.44328831883397335</v>
      </c>
    </row>
    <row r="98" spans="1:8" x14ac:dyDescent="0.25">
      <c r="A98">
        <v>4.9480000000000004</v>
      </c>
      <c r="B98">
        <v>4.2307018527324018</v>
      </c>
      <c r="C98">
        <f t="shared" si="5"/>
        <v>0.71729814726759855</v>
      </c>
      <c r="D98">
        <f t="shared" si="6"/>
        <v>9.4547718041032958E-2</v>
      </c>
      <c r="E98">
        <f t="shared" si="7"/>
        <v>4.3252495707734351</v>
      </c>
      <c r="F98">
        <f t="shared" si="8"/>
        <v>0.62275042922656532</v>
      </c>
      <c r="H98">
        <f t="shared" si="9"/>
        <v>0.62275042922656532</v>
      </c>
    </row>
    <row r="99" spans="1:8" x14ac:dyDescent="0.25">
      <c r="A99">
        <v>4.4320000000000004</v>
      </c>
      <c r="B99">
        <v>4.1895154201386067</v>
      </c>
      <c r="C99">
        <f t="shared" si="5"/>
        <v>0.24248457986139371</v>
      </c>
      <c r="D99">
        <f t="shared" si="6"/>
        <v>0.14432038723024082</v>
      </c>
      <c r="E99">
        <f t="shared" si="7"/>
        <v>4.3338358073688479</v>
      </c>
      <c r="F99">
        <f t="shared" si="8"/>
        <v>9.8164192631152503E-2</v>
      </c>
      <c r="H99">
        <f t="shared" si="9"/>
        <v>9.8164192631152503E-2</v>
      </c>
    </row>
    <row r="100" spans="1:8" x14ac:dyDescent="0.25">
      <c r="A100">
        <v>4.3179999999999996</v>
      </c>
      <c r="B100">
        <v>4.1485338308968078</v>
      </c>
      <c r="C100">
        <f t="shared" si="5"/>
        <v>0.16946616910319179</v>
      </c>
      <c r="D100">
        <f t="shared" si="6"/>
        <v>4.8787897468112414E-2</v>
      </c>
      <c r="E100">
        <f t="shared" si="7"/>
        <v>4.19732172836492</v>
      </c>
      <c r="F100">
        <f t="shared" si="8"/>
        <v>0.1206782716350796</v>
      </c>
      <c r="H100">
        <f t="shared" si="9"/>
        <v>0.1206782716350796</v>
      </c>
    </row>
    <row r="101" spans="1:8" x14ac:dyDescent="0.25">
      <c r="A101">
        <v>4.0179999999999998</v>
      </c>
      <c r="B101">
        <v>4.1077692287363519</v>
      </c>
      <c r="C101">
        <f t="shared" si="5"/>
        <v>-8.9769228736352069E-2</v>
      </c>
      <c r="D101">
        <f t="shared" si="6"/>
        <v>3.4096593223562184E-2</v>
      </c>
      <c r="E101">
        <f t="shared" si="7"/>
        <v>4.1418658219599145</v>
      </c>
      <c r="F101">
        <f t="shared" si="8"/>
        <v>-0.12386582195991469</v>
      </c>
      <c r="H101">
        <f t="shared" si="9"/>
        <v>0.12386582195991469</v>
      </c>
    </row>
    <row r="102" spans="1:8" x14ac:dyDescent="0.25">
      <c r="A102">
        <v>4.798</v>
      </c>
      <c r="B102">
        <v>4.0672336930886326</v>
      </c>
      <c r="C102">
        <f t="shared" si="5"/>
        <v>0.73076630691136746</v>
      </c>
      <c r="D102">
        <f t="shared" si="6"/>
        <v>-1.8061568821754036E-2</v>
      </c>
      <c r="E102">
        <f t="shared" si="7"/>
        <v>4.0491721242668781</v>
      </c>
      <c r="F102">
        <f t="shared" si="8"/>
        <v>0.74882787573312193</v>
      </c>
      <c r="H102">
        <f t="shared" si="9"/>
        <v>0.74882787573312193</v>
      </c>
    </row>
    <row r="103" spans="1:8" x14ac:dyDescent="0.25">
      <c r="A103">
        <v>3.1480000000000001</v>
      </c>
      <c r="B103">
        <v>4.0269392355076903</v>
      </c>
      <c r="C103">
        <f t="shared" si="5"/>
        <v>-0.87893923550769015</v>
      </c>
      <c r="D103">
        <f t="shared" si="6"/>
        <v>0.14703018095056714</v>
      </c>
      <c r="E103">
        <f t="shared" si="7"/>
        <v>4.1739694164582577</v>
      </c>
      <c r="F103">
        <f t="shared" si="8"/>
        <v>-1.0259694164582576</v>
      </c>
      <c r="H103">
        <f t="shared" si="9"/>
        <v>1.0259694164582576</v>
      </c>
    </row>
    <row r="104" spans="1:8" x14ac:dyDescent="0.25">
      <c r="A104">
        <v>3.456</v>
      </c>
      <c r="B104">
        <v>3.98689779611093</v>
      </c>
      <c r="C104">
        <f t="shared" si="5"/>
        <v>-0.53089779611093002</v>
      </c>
      <c r="D104">
        <f t="shared" si="6"/>
        <v>-0.17684257418414726</v>
      </c>
      <c r="E104">
        <f t="shared" si="7"/>
        <v>3.8100552219267829</v>
      </c>
      <c r="F104">
        <f t="shared" si="8"/>
        <v>-0.35405522192678296</v>
      </c>
      <c r="H104">
        <f t="shared" si="9"/>
        <v>0.35405522192678296</v>
      </c>
    </row>
    <row r="105" spans="1:8" x14ac:dyDescent="0.25">
      <c r="A105">
        <v>2.7120000000000002</v>
      </c>
      <c r="B105">
        <v>3.9471212400410129</v>
      </c>
      <c r="C105">
        <f t="shared" si="5"/>
        <v>-1.2351212400410128</v>
      </c>
      <c r="D105">
        <f t="shared" si="6"/>
        <v>-0.10681663657751911</v>
      </c>
      <c r="E105">
        <f t="shared" si="7"/>
        <v>3.840304603463494</v>
      </c>
      <c r="F105">
        <f t="shared" si="8"/>
        <v>-1.1283046034634938</v>
      </c>
      <c r="H105">
        <f t="shared" si="9"/>
        <v>1.1283046034634938</v>
      </c>
    </row>
    <row r="106" spans="1:8" x14ac:dyDescent="0.25">
      <c r="A106">
        <v>4.3259999999999996</v>
      </c>
      <c r="B106">
        <v>3.9076213539499487</v>
      </c>
      <c r="C106">
        <f t="shared" si="5"/>
        <v>0.41837864605005093</v>
      </c>
      <c r="D106">
        <f t="shared" si="6"/>
        <v>-0.24850639349625175</v>
      </c>
      <c r="E106">
        <f t="shared" si="7"/>
        <v>3.6591149604536968</v>
      </c>
      <c r="F106">
        <f t="shared" si="8"/>
        <v>0.66688503954630285</v>
      </c>
      <c r="H106">
        <f t="shared" si="9"/>
        <v>0.66688503954630285</v>
      </c>
    </row>
    <row r="107" spans="1:8" x14ac:dyDescent="0.25">
      <c r="A107">
        <v>4.3079999999999998</v>
      </c>
      <c r="B107">
        <v>3.8684098425064648</v>
      </c>
      <c r="C107">
        <f t="shared" si="5"/>
        <v>0.43959015749353503</v>
      </c>
      <c r="D107">
        <f t="shared" si="6"/>
        <v>8.4177783585270241E-2</v>
      </c>
      <c r="E107">
        <f t="shared" si="7"/>
        <v>3.9525876260917352</v>
      </c>
      <c r="F107">
        <f t="shared" si="8"/>
        <v>0.35541237390826463</v>
      </c>
      <c r="H107">
        <f t="shared" si="9"/>
        <v>0.35541237390826463</v>
      </c>
    </row>
    <row r="108" spans="1:8" x14ac:dyDescent="0.25">
      <c r="A108">
        <v>2.2360000000000002</v>
      </c>
      <c r="B108">
        <v>3.8294983249276555</v>
      </c>
      <c r="C108">
        <f t="shared" si="5"/>
        <v>-1.5934983249276553</v>
      </c>
      <c r="D108">
        <f t="shared" si="6"/>
        <v>8.8445539687699248E-2</v>
      </c>
      <c r="E108">
        <f t="shared" si="7"/>
        <v>3.9179438646153546</v>
      </c>
      <c r="F108">
        <f t="shared" si="8"/>
        <v>-1.6819438646153544</v>
      </c>
      <c r="H108">
        <f t="shared" si="9"/>
        <v>1.6819438646153544</v>
      </c>
    </row>
    <row r="109" spans="1:8" x14ac:dyDescent="0.25">
      <c r="A109">
        <v>3.5550000000000002</v>
      </c>
      <c r="B109">
        <v>3.7908983315359581</v>
      </c>
      <c r="C109">
        <f t="shared" si="5"/>
        <v>-0.23589833153595796</v>
      </c>
      <c r="D109">
        <f t="shared" si="6"/>
        <v>-0.32061186297544425</v>
      </c>
      <c r="E109">
        <f t="shared" si="7"/>
        <v>3.4702864685605137</v>
      </c>
      <c r="F109">
        <f t="shared" si="8"/>
        <v>8.4713531439486456E-2</v>
      </c>
      <c r="H109">
        <f t="shared" si="9"/>
        <v>8.4713531439486456E-2</v>
      </c>
    </row>
    <row r="110" spans="1:8" x14ac:dyDescent="0.25">
      <c r="A110">
        <v>2.9630000000000001</v>
      </c>
      <c r="B110">
        <v>3.7526213003424713</v>
      </c>
      <c r="C110">
        <f t="shared" si="5"/>
        <v>-0.78962130034247124</v>
      </c>
      <c r="D110">
        <f t="shared" si="6"/>
        <v>-4.7462744305034742E-2</v>
      </c>
      <c r="E110">
        <f t="shared" si="7"/>
        <v>3.7051585560374365</v>
      </c>
      <c r="F110">
        <f t="shared" si="8"/>
        <v>-0.74215855603743641</v>
      </c>
      <c r="H110">
        <f t="shared" si="9"/>
        <v>0.74215855603743641</v>
      </c>
    </row>
    <row r="111" spans="1:8" x14ac:dyDescent="0.25">
      <c r="A111">
        <v>3.47</v>
      </c>
      <c r="B111">
        <v>3.7146785736576229</v>
      </c>
      <c r="C111">
        <f t="shared" si="5"/>
        <v>-0.24467857365762269</v>
      </c>
      <c r="D111">
        <f t="shared" si="6"/>
        <v>-0.15887180562890521</v>
      </c>
      <c r="E111">
        <f t="shared" si="7"/>
        <v>3.5558067680287175</v>
      </c>
      <c r="F111">
        <f t="shared" si="8"/>
        <v>-8.580676802871734E-2</v>
      </c>
      <c r="H111">
        <f t="shared" si="9"/>
        <v>8.580676802871734E-2</v>
      </c>
    </row>
    <row r="112" spans="1:8" x14ac:dyDescent="0.25">
      <c r="A112">
        <v>3.395</v>
      </c>
      <c r="B112">
        <v>3.6770813947302017</v>
      </c>
      <c r="C112">
        <f t="shared" si="5"/>
        <v>-0.28208139473020166</v>
      </c>
      <c r="D112">
        <f t="shared" si="6"/>
        <v>-4.9229329019913684E-2</v>
      </c>
      <c r="E112">
        <f t="shared" si="7"/>
        <v>3.6278520657102882</v>
      </c>
      <c r="F112">
        <f t="shared" si="8"/>
        <v>-0.23285206571028816</v>
      </c>
      <c r="H112">
        <f t="shared" si="9"/>
        <v>0.23285206571028816</v>
      </c>
    </row>
    <row r="113" spans="1:8" x14ac:dyDescent="0.25">
      <c r="A113">
        <v>2.1989999999999998</v>
      </c>
      <c r="B113">
        <v>3.6398409044157374</v>
      </c>
      <c r="C113">
        <f t="shared" si="5"/>
        <v>-1.4408409044157375</v>
      </c>
      <c r="D113">
        <f t="shared" si="6"/>
        <v>-5.675477661971657E-2</v>
      </c>
      <c r="E113">
        <f t="shared" si="7"/>
        <v>3.5830861277960206</v>
      </c>
      <c r="F113">
        <f t="shared" si="8"/>
        <v>-1.3840861277960208</v>
      </c>
      <c r="H113">
        <f t="shared" si="9"/>
        <v>1.3840861277960208</v>
      </c>
    </row>
    <row r="114" spans="1:8" x14ac:dyDescent="0.25">
      <c r="A114">
        <v>4.0049999999999999</v>
      </c>
      <c r="B114">
        <v>3.6029681378752247</v>
      </c>
      <c r="C114">
        <f t="shared" si="5"/>
        <v>0.40203186212477515</v>
      </c>
      <c r="D114">
        <f t="shared" si="6"/>
        <v>-0.28989718996844638</v>
      </c>
      <c r="E114">
        <f t="shared" si="7"/>
        <v>3.3130709479067786</v>
      </c>
      <c r="F114">
        <f t="shared" si="8"/>
        <v>0.69192905209322131</v>
      </c>
      <c r="H114">
        <f t="shared" si="9"/>
        <v>0.69192905209322131</v>
      </c>
    </row>
    <row r="115" spans="1:8" x14ac:dyDescent="0.25">
      <c r="A115">
        <v>4.1609999999999996</v>
      </c>
      <c r="B115">
        <v>3.5664740213051704</v>
      </c>
      <c r="C115">
        <f t="shared" si="5"/>
        <v>0.59452597869482915</v>
      </c>
      <c r="D115">
        <f t="shared" si="6"/>
        <v>8.0888810659504762E-2</v>
      </c>
      <c r="E115">
        <f t="shared" si="7"/>
        <v>3.6473628319646751</v>
      </c>
      <c r="F115">
        <f t="shared" si="8"/>
        <v>0.51363716803532444</v>
      </c>
      <c r="H115">
        <f t="shared" si="9"/>
        <v>0.51363716803532444</v>
      </c>
    </row>
    <row r="116" spans="1:8" x14ac:dyDescent="0.25">
      <c r="A116">
        <v>1.5649999999999999</v>
      </c>
      <c r="B116">
        <v>3.5303693686999207</v>
      </c>
      <c r="C116">
        <f t="shared" si="5"/>
        <v>-1.9653693686999207</v>
      </c>
      <c r="D116">
        <f t="shared" si="6"/>
        <v>0.11961862691339963</v>
      </c>
      <c r="E116">
        <f t="shared" si="7"/>
        <v>3.6499879956133201</v>
      </c>
      <c r="F116">
        <f t="shared" si="8"/>
        <v>-2.0849879956133202</v>
      </c>
      <c r="H116">
        <f t="shared" si="9"/>
        <v>2.0849879956133202</v>
      </c>
    </row>
    <row r="117" spans="1:8" x14ac:dyDescent="0.25">
      <c r="A117">
        <v>2.7269999999999999</v>
      </c>
      <c r="B117">
        <v>3.4946648786472454</v>
      </c>
      <c r="C117">
        <f t="shared" si="5"/>
        <v>-0.76766487864724553</v>
      </c>
      <c r="D117">
        <f t="shared" si="6"/>
        <v>-0.39543231698242404</v>
      </c>
      <c r="E117">
        <f t="shared" si="7"/>
        <v>3.0992325616648215</v>
      </c>
      <c r="F117">
        <f t="shared" si="8"/>
        <v>-0.37223256166482166</v>
      </c>
      <c r="H117">
        <f t="shared" si="9"/>
        <v>0.37223256166482166</v>
      </c>
    </row>
    <row r="118" spans="1:8" x14ac:dyDescent="0.25">
      <c r="A118">
        <v>3.9119999999999999</v>
      </c>
      <c r="B118">
        <v>3.4593711311581128</v>
      </c>
      <c r="C118">
        <f t="shared" si="5"/>
        <v>0.45262886884188713</v>
      </c>
      <c r="D118">
        <f t="shared" si="6"/>
        <v>-0.15445417358382579</v>
      </c>
      <c r="E118">
        <f t="shared" si="7"/>
        <v>3.3049169575742869</v>
      </c>
      <c r="F118">
        <f t="shared" si="8"/>
        <v>0.60708304242571298</v>
      </c>
      <c r="H118">
        <f t="shared" si="9"/>
        <v>0.60708304242571298</v>
      </c>
    </row>
    <row r="119" spans="1:8" x14ac:dyDescent="0.25">
      <c r="A119">
        <v>1.111</v>
      </c>
      <c r="B119">
        <v>3.4244985845316052</v>
      </c>
      <c r="C119">
        <f t="shared" si="5"/>
        <v>-2.3134985845316054</v>
      </c>
      <c r="D119">
        <f t="shared" si="6"/>
        <v>9.1068928410987682E-2</v>
      </c>
      <c r="E119">
        <f t="shared" si="7"/>
        <v>3.5155675129425927</v>
      </c>
      <c r="F119">
        <f t="shared" si="8"/>
        <v>-2.4045675129425925</v>
      </c>
      <c r="H119">
        <f t="shared" si="9"/>
        <v>2.4045675129425925</v>
      </c>
    </row>
    <row r="120" spans="1:8" x14ac:dyDescent="0.25">
      <c r="A120">
        <v>1.407</v>
      </c>
      <c r="B120">
        <v>3.3900575722559001</v>
      </c>
      <c r="C120">
        <f t="shared" si="5"/>
        <v>-1.9830575722559001</v>
      </c>
      <c r="D120">
        <f t="shared" si="6"/>
        <v>-0.46547591520775899</v>
      </c>
      <c r="E120">
        <f t="shared" si="7"/>
        <v>2.9245816570481411</v>
      </c>
      <c r="F120">
        <f t="shared" si="8"/>
        <v>-1.5175816570481411</v>
      </c>
      <c r="H120">
        <f t="shared" si="9"/>
        <v>1.5175816570481411</v>
      </c>
    </row>
    <row r="121" spans="1:8" x14ac:dyDescent="0.25">
      <c r="A121">
        <v>1.395</v>
      </c>
      <c r="B121">
        <v>3.3560582999462318</v>
      </c>
      <c r="C121">
        <f t="shared" si="5"/>
        <v>-1.9610582999462318</v>
      </c>
      <c r="D121">
        <f t="shared" si="6"/>
        <v>-0.3989911835378871</v>
      </c>
      <c r="E121">
        <f t="shared" si="7"/>
        <v>2.9570671164083446</v>
      </c>
      <c r="F121">
        <f t="shared" si="8"/>
        <v>-1.5620671164083446</v>
      </c>
      <c r="H121">
        <f t="shared" si="9"/>
        <v>1.5620671164083446</v>
      </c>
    </row>
    <row r="122" spans="1:8" x14ac:dyDescent="0.25">
      <c r="A122">
        <v>3.4009999999999998</v>
      </c>
      <c r="B122">
        <v>3.3225108423207494</v>
      </c>
      <c r="C122">
        <f t="shared" si="5"/>
        <v>7.8489157679250354E-2</v>
      </c>
      <c r="D122">
        <f t="shared" si="6"/>
        <v>-0.3945649299491818</v>
      </c>
      <c r="E122">
        <f t="shared" si="7"/>
        <v>2.9279459123715679</v>
      </c>
      <c r="F122">
        <f t="shared" si="8"/>
        <v>0.47305408762843193</v>
      </c>
      <c r="H122">
        <f t="shared" si="9"/>
        <v>0.47305408762843193</v>
      </c>
    </row>
    <row r="123" spans="1:8" x14ac:dyDescent="0.25">
      <c r="A123">
        <v>2.46</v>
      </c>
      <c r="B123">
        <v>3.2894251402151631</v>
      </c>
      <c r="C123">
        <f t="shared" si="5"/>
        <v>-0.82942514021516311</v>
      </c>
      <c r="D123">
        <f t="shared" si="6"/>
        <v>1.579201852506517E-2</v>
      </c>
      <c r="E123">
        <f t="shared" si="7"/>
        <v>3.3052171587402284</v>
      </c>
      <c r="F123">
        <f t="shared" si="8"/>
        <v>-0.8452171587402284</v>
      </c>
      <c r="H123">
        <f t="shared" si="9"/>
        <v>0.8452171587402284</v>
      </c>
    </row>
    <row r="124" spans="1:8" x14ac:dyDescent="0.25">
      <c r="A124">
        <v>3.0169999999999999</v>
      </c>
      <c r="B124">
        <v>3.2568109976370527</v>
      </c>
      <c r="C124">
        <f t="shared" si="5"/>
        <v>-0.23981099763705283</v>
      </c>
      <c r="D124">
        <f t="shared" si="6"/>
        <v>-0.16688033821129081</v>
      </c>
      <c r="E124">
        <f t="shared" si="7"/>
        <v>3.0899306594257618</v>
      </c>
      <c r="F124">
        <f t="shared" si="8"/>
        <v>-7.2930659425761935E-2</v>
      </c>
      <c r="H124">
        <f t="shared" si="9"/>
        <v>7.2930659425761935E-2</v>
      </c>
    </row>
    <row r="125" spans="1:8" x14ac:dyDescent="0.25">
      <c r="A125">
        <v>2.6280000000000001</v>
      </c>
      <c r="B125">
        <v>3.2246780788607365</v>
      </c>
      <c r="C125">
        <f t="shared" si="5"/>
        <v>-0.59667807886073643</v>
      </c>
      <c r="D125">
        <f t="shared" si="6"/>
        <v>-4.8249972724575027E-2</v>
      </c>
      <c r="E125">
        <f t="shared" si="7"/>
        <v>3.1764281061361617</v>
      </c>
      <c r="F125">
        <f t="shared" si="8"/>
        <v>-0.54842810613616155</v>
      </c>
      <c r="H125">
        <f t="shared" si="9"/>
        <v>0.54842810613616155</v>
      </c>
    </row>
    <row r="126" spans="1:8" x14ac:dyDescent="0.25">
      <c r="A126">
        <v>2.1419999999999999</v>
      </c>
      <c r="B126">
        <v>3.1930359055635309</v>
      </c>
      <c r="C126">
        <f t="shared" si="5"/>
        <v>-1.051035905563531</v>
      </c>
      <c r="D126">
        <f t="shared" si="6"/>
        <v>-0.12005162946678016</v>
      </c>
      <c r="E126">
        <f t="shared" si="7"/>
        <v>3.0729842760967507</v>
      </c>
      <c r="F126">
        <f t="shared" si="8"/>
        <v>-0.93098427609675083</v>
      </c>
      <c r="H126">
        <f t="shared" si="9"/>
        <v>0.93098427609675083</v>
      </c>
    </row>
    <row r="127" spans="1:8" x14ac:dyDescent="0.25">
      <c r="A127">
        <v>2.0409999999999999</v>
      </c>
      <c r="B127">
        <v>3.1618938540042789</v>
      </c>
      <c r="C127">
        <f t="shared" si="5"/>
        <v>-1.120893854004279</v>
      </c>
      <c r="D127">
        <f t="shared" si="6"/>
        <v>-0.21146842419938242</v>
      </c>
      <c r="E127">
        <f t="shared" si="7"/>
        <v>2.9504254298048966</v>
      </c>
      <c r="F127">
        <f t="shared" si="8"/>
        <v>-0.90942542980489671</v>
      </c>
      <c r="H127">
        <f t="shared" si="9"/>
        <v>0.90942542980489671</v>
      </c>
    </row>
    <row r="128" spans="1:8" x14ac:dyDescent="0.25">
      <c r="A128">
        <v>3.6720000000000002</v>
      </c>
      <c r="B128">
        <v>3.1312611522449596</v>
      </c>
      <c r="C128">
        <f t="shared" si="5"/>
        <v>0.54073884775504055</v>
      </c>
      <c r="D128">
        <f t="shared" si="6"/>
        <v>-0.22552384342566092</v>
      </c>
      <c r="E128">
        <f t="shared" si="7"/>
        <v>2.9057373088192988</v>
      </c>
      <c r="F128">
        <f t="shared" si="8"/>
        <v>0.76626269118070134</v>
      </c>
      <c r="H128">
        <f t="shared" si="9"/>
        <v>0.76626269118070134</v>
      </c>
    </row>
    <row r="129" spans="1:8" x14ac:dyDescent="0.25">
      <c r="A129">
        <v>2.851</v>
      </c>
      <c r="B129">
        <v>3.1011468774162103</v>
      </c>
      <c r="C129">
        <f t="shared" si="5"/>
        <v>-0.25014687741621033</v>
      </c>
      <c r="D129">
        <f t="shared" si="6"/>
        <v>0.10879665616831416</v>
      </c>
      <c r="E129">
        <f t="shared" si="7"/>
        <v>3.2099435335845246</v>
      </c>
      <c r="F129">
        <f t="shared" si="8"/>
        <v>-0.35894353358452458</v>
      </c>
      <c r="H129">
        <f t="shared" si="9"/>
        <v>0.35894353358452458</v>
      </c>
    </row>
    <row r="130" spans="1:8" x14ac:dyDescent="0.25">
      <c r="A130">
        <v>2.286</v>
      </c>
      <c r="B130">
        <v>3.0715599530275828</v>
      </c>
      <c r="C130">
        <f t="shared" si="5"/>
        <v>-0.78555995302758275</v>
      </c>
      <c r="D130">
        <f t="shared" si="6"/>
        <v>-5.0329551736141516E-2</v>
      </c>
      <c r="E130">
        <f t="shared" si="7"/>
        <v>3.021230401291441</v>
      </c>
      <c r="F130">
        <f t="shared" si="8"/>
        <v>-0.73523040129144102</v>
      </c>
      <c r="H130">
        <f t="shared" si="9"/>
        <v>0.73523040129144102</v>
      </c>
    </row>
    <row r="131" spans="1:8" x14ac:dyDescent="0.25">
      <c r="A131">
        <v>2.649</v>
      </c>
      <c r="B131">
        <v>3.0425091463233112</v>
      </c>
      <c r="C131">
        <f t="shared" ref="C131:C194" si="10">A131-B131</f>
        <v>-0.39350914632331113</v>
      </c>
      <c r="D131">
        <f t="shared" si="6"/>
        <v>-0.15805466254914963</v>
      </c>
      <c r="E131">
        <f t="shared" si="7"/>
        <v>2.8844544837741615</v>
      </c>
      <c r="F131">
        <f t="shared" si="8"/>
        <v>-0.23545448377416145</v>
      </c>
      <c r="H131">
        <f t="shared" si="9"/>
        <v>0.23545448377416145</v>
      </c>
    </row>
    <row r="132" spans="1:8" x14ac:dyDescent="0.25">
      <c r="A132">
        <v>3.0270000000000001</v>
      </c>
      <c r="B132">
        <v>3.0140030656843892</v>
      </c>
      <c r="C132">
        <f t="shared" si="10"/>
        <v>1.2996934315610886E-2</v>
      </c>
      <c r="D132">
        <f t="shared" ref="D132:D195" si="11">$J$1*C131</f>
        <v>-7.9174040240250196E-2</v>
      </c>
      <c r="E132">
        <f t="shared" ref="E132:E195" si="12">B132+D132</f>
        <v>2.9348290254441389</v>
      </c>
      <c r="F132">
        <f t="shared" ref="F132:F195" si="13">A132-E132</f>
        <v>9.2170974555861207E-2</v>
      </c>
      <c r="H132">
        <f t="shared" ref="H132:H195" si="14">ABS(F132)</f>
        <v>9.2170974555861207E-2</v>
      </c>
    </row>
    <row r="133" spans="1:8" x14ac:dyDescent="0.25">
      <c r="A133">
        <v>3.26</v>
      </c>
      <c r="B133">
        <v>2.986050158077723</v>
      </c>
      <c r="C133">
        <f t="shared" si="10"/>
        <v>0.27394984192227678</v>
      </c>
      <c r="D133">
        <f t="shared" si="11"/>
        <v>2.61498318430091E-3</v>
      </c>
      <c r="E133">
        <f t="shared" si="12"/>
        <v>2.988665141262024</v>
      </c>
      <c r="F133">
        <f t="shared" si="13"/>
        <v>0.2713348587379758</v>
      </c>
      <c r="H133">
        <f t="shared" si="14"/>
        <v>0.2713348587379758</v>
      </c>
    </row>
    <row r="134" spans="1:8" x14ac:dyDescent="0.25">
      <c r="A134">
        <v>3.05</v>
      </c>
      <c r="B134">
        <v>2.9586587065531091</v>
      </c>
      <c r="C134">
        <f t="shared" si="10"/>
        <v>9.1341293446890681E-2</v>
      </c>
      <c r="D134">
        <f t="shared" si="11"/>
        <v>5.5118708194762084E-2</v>
      </c>
      <c r="E134">
        <f t="shared" si="12"/>
        <v>3.0137774147478713</v>
      </c>
      <c r="F134">
        <f t="shared" si="13"/>
        <v>3.6222585252128514E-2</v>
      </c>
      <c r="H134">
        <f t="shared" si="14"/>
        <v>3.6222585252128514E-2</v>
      </c>
    </row>
    <row r="135" spans="1:8" x14ac:dyDescent="0.25">
      <c r="A135">
        <v>2.101</v>
      </c>
      <c r="B135">
        <v>2.9318368277887901</v>
      </c>
      <c r="C135">
        <f t="shared" si="10"/>
        <v>-0.83083682778879009</v>
      </c>
      <c r="D135">
        <f t="shared" si="11"/>
        <v>1.8377868241514404E-2</v>
      </c>
      <c r="E135">
        <f t="shared" si="12"/>
        <v>2.9502146960303044</v>
      </c>
      <c r="F135">
        <f t="shared" si="13"/>
        <v>-0.84921469603030442</v>
      </c>
      <c r="H135">
        <f t="shared" si="14"/>
        <v>0.84921469603030442</v>
      </c>
    </row>
    <row r="136" spans="1:8" x14ac:dyDescent="0.25">
      <c r="A136">
        <v>3.347</v>
      </c>
      <c r="B136">
        <v>2.9055924696863076</v>
      </c>
      <c r="C136">
        <f t="shared" si="10"/>
        <v>0.4414075303136924</v>
      </c>
      <c r="D136">
        <f t="shared" si="11"/>
        <v>-0.16716436975110455</v>
      </c>
      <c r="E136">
        <f t="shared" si="12"/>
        <v>2.7384280999352031</v>
      </c>
      <c r="F136">
        <f t="shared" si="13"/>
        <v>0.60857190006479689</v>
      </c>
      <c r="H136">
        <f t="shared" si="14"/>
        <v>0.60857190006479689</v>
      </c>
    </row>
    <row r="137" spans="1:8" x14ac:dyDescent="0.25">
      <c r="A137">
        <v>1.7509999999999999</v>
      </c>
      <c r="B137">
        <v>2.8799334090153659</v>
      </c>
      <c r="C137">
        <f t="shared" si="10"/>
        <v>-1.128933409015366</v>
      </c>
      <c r="D137">
        <f t="shared" si="11"/>
        <v>8.8811195099114906E-2</v>
      </c>
      <c r="E137">
        <f t="shared" si="12"/>
        <v>2.9687446041144807</v>
      </c>
      <c r="F137">
        <f t="shared" si="13"/>
        <v>-1.2177446041144808</v>
      </c>
      <c r="H137">
        <f t="shared" si="14"/>
        <v>1.2177446041144808</v>
      </c>
    </row>
    <row r="138" spans="1:8" x14ac:dyDescent="0.25">
      <c r="A138">
        <v>1.786</v>
      </c>
      <c r="B138">
        <v>2.8548672491094109</v>
      </c>
      <c r="C138">
        <f t="shared" si="10"/>
        <v>-1.0688672491094109</v>
      </c>
      <c r="D138">
        <f t="shared" si="11"/>
        <v>-0.22714140189389162</v>
      </c>
      <c r="E138">
        <f t="shared" si="12"/>
        <v>2.6277258472155194</v>
      </c>
      <c r="F138">
        <f t="shared" si="13"/>
        <v>-0.84172584721551935</v>
      </c>
      <c r="H138">
        <f t="shared" si="14"/>
        <v>0.84172584721551935</v>
      </c>
    </row>
    <row r="139" spans="1:8" x14ac:dyDescent="0.25">
      <c r="A139">
        <v>2.754</v>
      </c>
      <c r="B139">
        <v>2.8304014176125953</v>
      </c>
      <c r="C139">
        <f t="shared" si="10"/>
        <v>-7.6401417612595335E-2</v>
      </c>
      <c r="D139">
        <f t="shared" si="11"/>
        <v>-0.21505609052081345</v>
      </c>
      <c r="E139">
        <f t="shared" si="12"/>
        <v>2.6153453270917817</v>
      </c>
      <c r="F139">
        <f t="shared" si="13"/>
        <v>0.13865467290821831</v>
      </c>
      <c r="H139">
        <f t="shared" si="14"/>
        <v>0.13865467290821831</v>
      </c>
    </row>
    <row r="140" spans="1:8" x14ac:dyDescent="0.25">
      <c r="A140">
        <v>1.845</v>
      </c>
      <c r="B140">
        <v>2.8065431642788061</v>
      </c>
      <c r="C140">
        <f t="shared" si="10"/>
        <v>-0.96154316427880615</v>
      </c>
      <c r="D140">
        <f t="shared" si="11"/>
        <v>-1.537196522365418E-2</v>
      </c>
      <c r="E140">
        <f t="shared" si="12"/>
        <v>2.7911711990551518</v>
      </c>
      <c r="F140">
        <f t="shared" si="13"/>
        <v>-0.94617119905515179</v>
      </c>
      <c r="H140">
        <f t="shared" si="14"/>
        <v>0.94617119905515179</v>
      </c>
    </row>
    <row r="141" spans="1:8" x14ac:dyDescent="0.25">
      <c r="A141">
        <v>2.2989999999999999</v>
      </c>
      <c r="B141">
        <v>2.7832995588234097</v>
      </c>
      <c r="C141">
        <f t="shared" si="10"/>
        <v>-0.4842995588234098</v>
      </c>
      <c r="D141">
        <f t="shared" si="11"/>
        <v>-0.19346248465289578</v>
      </c>
      <c r="E141">
        <f t="shared" si="12"/>
        <v>2.5898370741705139</v>
      </c>
      <c r="F141">
        <f t="shared" si="13"/>
        <v>-0.29083707417051397</v>
      </c>
      <c r="H141">
        <f t="shared" si="14"/>
        <v>0.29083707417051397</v>
      </c>
    </row>
    <row r="142" spans="1:8" x14ac:dyDescent="0.25">
      <c r="A142">
        <v>1.111</v>
      </c>
      <c r="B142">
        <v>2.7606774888283407</v>
      </c>
      <c r="C142">
        <f t="shared" si="10"/>
        <v>-1.6496774888283408</v>
      </c>
      <c r="D142">
        <f t="shared" si="11"/>
        <v>-9.7441071235270044E-2</v>
      </c>
      <c r="E142">
        <f t="shared" si="12"/>
        <v>2.6632364175930707</v>
      </c>
      <c r="F142">
        <f t="shared" si="13"/>
        <v>-1.5522364175930707</v>
      </c>
      <c r="H142">
        <f t="shared" si="14"/>
        <v>1.5522364175930707</v>
      </c>
    </row>
    <row r="143" spans="1:8" x14ac:dyDescent="0.25">
      <c r="A143">
        <v>1.8859999999999999</v>
      </c>
      <c r="B143">
        <v>2.7386836577011637</v>
      </c>
      <c r="C143">
        <f t="shared" si="10"/>
        <v>-0.85268365770116383</v>
      </c>
      <c r="D143">
        <f t="shared" si="11"/>
        <v>-0.33191511075226215</v>
      </c>
      <c r="E143">
        <f t="shared" si="12"/>
        <v>2.4067685469489017</v>
      </c>
      <c r="F143">
        <f t="shared" si="13"/>
        <v>-0.52076854694890184</v>
      </c>
      <c r="H143">
        <f t="shared" si="14"/>
        <v>0.52076854694890184</v>
      </c>
    </row>
    <row r="144" spans="1:8" x14ac:dyDescent="0.25">
      <c r="A144">
        <v>1.256</v>
      </c>
      <c r="B144">
        <v>2.7173245826887067</v>
      </c>
      <c r="C144">
        <f t="shared" si="10"/>
        <v>-1.4613245826887067</v>
      </c>
      <c r="D144">
        <f t="shared" si="11"/>
        <v>-0.17155995192947415</v>
      </c>
      <c r="E144">
        <f t="shared" si="12"/>
        <v>2.5457646307592325</v>
      </c>
      <c r="F144">
        <f t="shared" si="13"/>
        <v>-1.2897646307592325</v>
      </c>
      <c r="H144">
        <f t="shared" si="14"/>
        <v>1.2897646307592325</v>
      </c>
    </row>
    <row r="145" spans="1:8" x14ac:dyDescent="0.25">
      <c r="A145">
        <v>2.3780000000000001</v>
      </c>
      <c r="B145">
        <v>2.6966065929458622</v>
      </c>
      <c r="C145">
        <f t="shared" si="10"/>
        <v>-0.31860659294586213</v>
      </c>
      <c r="D145">
        <f t="shared" si="11"/>
        <v>-0.29401850603696777</v>
      </c>
      <c r="E145">
        <f t="shared" si="12"/>
        <v>2.4025880869088945</v>
      </c>
      <c r="F145">
        <f t="shared" si="13"/>
        <v>-2.4588086908894358E-2</v>
      </c>
      <c r="H145">
        <f t="shared" si="14"/>
        <v>2.4588086908894358E-2</v>
      </c>
    </row>
    <row r="146" spans="1:8" x14ac:dyDescent="0.25">
      <c r="A146">
        <v>1.694</v>
      </c>
      <c r="B146">
        <v>2.676535827660123</v>
      </c>
      <c r="C146">
        <f t="shared" si="10"/>
        <v>-0.98253582766012304</v>
      </c>
      <c r="D146">
        <f t="shared" si="11"/>
        <v>-6.4103646500707462E-2</v>
      </c>
      <c r="E146">
        <f t="shared" si="12"/>
        <v>2.6124321811594156</v>
      </c>
      <c r="F146">
        <f t="shared" si="13"/>
        <v>-0.91843218115941561</v>
      </c>
      <c r="H146">
        <f t="shared" si="14"/>
        <v>0.91843218115941561</v>
      </c>
    </row>
    <row r="147" spans="1:8" x14ac:dyDescent="0.25">
      <c r="A147">
        <v>1.1120000000000001</v>
      </c>
      <c r="B147">
        <v>2.6571182342324038</v>
      </c>
      <c r="C147">
        <f t="shared" si="10"/>
        <v>-1.5451182342324037</v>
      </c>
      <c r="D147">
        <f t="shared" si="11"/>
        <v>-0.19768620852521673</v>
      </c>
      <c r="E147">
        <f t="shared" si="12"/>
        <v>2.4594320257071871</v>
      </c>
      <c r="F147">
        <f t="shared" si="13"/>
        <v>-1.347432025707187</v>
      </c>
      <c r="H147">
        <f t="shared" si="14"/>
        <v>1.347432025707187</v>
      </c>
    </row>
    <row r="148" spans="1:8" x14ac:dyDescent="0.25">
      <c r="A148">
        <v>1.1100000000000001</v>
      </c>
      <c r="B148">
        <v>2.6383595665147057</v>
      </c>
      <c r="C148">
        <f t="shared" si="10"/>
        <v>-1.5283595665147056</v>
      </c>
      <c r="D148">
        <f t="shared" si="11"/>
        <v>-0.31087778872755961</v>
      </c>
      <c r="E148">
        <f t="shared" si="12"/>
        <v>2.3274817777871459</v>
      </c>
      <c r="F148">
        <f t="shared" si="13"/>
        <v>-1.2174817777871458</v>
      </c>
      <c r="H148">
        <f t="shared" si="14"/>
        <v>1.2174817777871458</v>
      </c>
    </row>
    <row r="149" spans="1:8" x14ac:dyDescent="0.25">
      <c r="A149">
        <v>1.1120000000000001</v>
      </c>
      <c r="B149">
        <v>2.6202653831051173</v>
      </c>
      <c r="C149">
        <f t="shared" si="10"/>
        <v>-1.5082653831051172</v>
      </c>
      <c r="D149">
        <f t="shared" si="11"/>
        <v>-0.30750594478275878</v>
      </c>
      <c r="E149">
        <f t="shared" si="12"/>
        <v>2.3127594383223586</v>
      </c>
      <c r="F149">
        <f t="shared" si="13"/>
        <v>-1.2007594383223585</v>
      </c>
      <c r="H149">
        <f t="shared" si="14"/>
        <v>1.2007594383223585</v>
      </c>
    </row>
    <row r="150" spans="1:8" x14ac:dyDescent="0.25">
      <c r="A150">
        <v>1.2869999999999999</v>
      </c>
      <c r="B150">
        <v>2.602841045700687</v>
      </c>
      <c r="C150">
        <f t="shared" si="10"/>
        <v>-1.3158410457006871</v>
      </c>
      <c r="D150">
        <f t="shared" si="11"/>
        <v>-0.30346299508074953</v>
      </c>
      <c r="E150">
        <f t="shared" si="12"/>
        <v>2.2993780506199375</v>
      </c>
      <c r="F150">
        <f t="shared" si="13"/>
        <v>-1.0123780506199376</v>
      </c>
      <c r="H150">
        <f t="shared" si="14"/>
        <v>1.0123780506199376</v>
      </c>
    </row>
    <row r="151" spans="1:8" x14ac:dyDescent="0.25">
      <c r="A151">
        <v>1.1120000000000001</v>
      </c>
      <c r="B151">
        <v>2.5860917175086362</v>
      </c>
      <c r="C151">
        <f t="shared" si="10"/>
        <v>-1.4740917175086361</v>
      </c>
      <c r="D151">
        <f t="shared" si="11"/>
        <v>-0.26474721839497822</v>
      </c>
      <c r="E151">
        <f t="shared" si="12"/>
        <v>2.3213444991136578</v>
      </c>
      <c r="F151">
        <f t="shared" si="13"/>
        <v>-1.2093444991136577</v>
      </c>
      <c r="H151">
        <f t="shared" si="14"/>
        <v>1.2093444991136577</v>
      </c>
    </row>
    <row r="152" spans="1:8" x14ac:dyDescent="0.25">
      <c r="A152">
        <v>2.6080000000000001</v>
      </c>
      <c r="B152">
        <v>2.5700223617163882</v>
      </c>
      <c r="C152">
        <f t="shared" si="10"/>
        <v>3.7977638283611892E-2</v>
      </c>
      <c r="D152">
        <f t="shared" si="11"/>
        <v>-0.29658725356273757</v>
      </c>
      <c r="E152">
        <f t="shared" si="12"/>
        <v>2.2734351081536506</v>
      </c>
      <c r="F152">
        <f t="shared" si="13"/>
        <v>0.33456489184634952</v>
      </c>
      <c r="H152">
        <f t="shared" si="14"/>
        <v>0.33456489184634952</v>
      </c>
    </row>
    <row r="153" spans="1:8" x14ac:dyDescent="0.25">
      <c r="A153">
        <v>2.0499999999999998</v>
      </c>
      <c r="B153">
        <v>2.55463774002087</v>
      </c>
      <c r="C153">
        <f t="shared" si="10"/>
        <v>-0.50463774002087014</v>
      </c>
      <c r="D153">
        <f t="shared" si="11"/>
        <v>7.6411008226627119E-3</v>
      </c>
      <c r="E153">
        <f t="shared" si="12"/>
        <v>2.5622788408435326</v>
      </c>
      <c r="F153">
        <f t="shared" si="13"/>
        <v>-0.51227884084353281</v>
      </c>
      <c r="H153">
        <f t="shared" si="14"/>
        <v>0.51227884084353281</v>
      </c>
    </row>
    <row r="154" spans="1:8" x14ac:dyDescent="0.25">
      <c r="A154">
        <v>2.266</v>
      </c>
      <c r="B154">
        <v>2.5399424112175164</v>
      </c>
      <c r="C154">
        <f t="shared" si="10"/>
        <v>-0.27394241121751639</v>
      </c>
      <c r="D154">
        <f t="shared" si="11"/>
        <v>-0.10153311329219906</v>
      </c>
      <c r="E154">
        <f t="shared" si="12"/>
        <v>2.4384092979253174</v>
      </c>
      <c r="F154">
        <f t="shared" si="13"/>
        <v>-0.17240929792531734</v>
      </c>
      <c r="H154">
        <f t="shared" si="14"/>
        <v>0.17240929792531734</v>
      </c>
    </row>
    <row r="155" spans="1:8" x14ac:dyDescent="0.25">
      <c r="A155">
        <v>2.1030000000000002</v>
      </c>
      <c r="B155">
        <v>2.5259407298494039</v>
      </c>
      <c r="C155">
        <f t="shared" si="10"/>
        <v>-0.42294072984940367</v>
      </c>
      <c r="D155">
        <f t="shared" si="11"/>
        <v>-5.5117213136964292E-2</v>
      </c>
      <c r="E155">
        <f t="shared" si="12"/>
        <v>2.4708235167124397</v>
      </c>
      <c r="F155">
        <f t="shared" si="13"/>
        <v>-0.36782351671243951</v>
      </c>
      <c r="H155">
        <f t="shared" si="14"/>
        <v>0.36782351671243951</v>
      </c>
    </row>
    <row r="156" spans="1:8" x14ac:dyDescent="0.25">
      <c r="A156">
        <v>1.18</v>
      </c>
      <c r="B156">
        <v>2.5126368449169019</v>
      </c>
      <c r="C156">
        <f t="shared" si="10"/>
        <v>-1.3326368449169019</v>
      </c>
      <c r="D156">
        <f t="shared" si="11"/>
        <v>-8.509567484570002E-2</v>
      </c>
      <c r="E156">
        <f t="shared" si="12"/>
        <v>2.4275411700712017</v>
      </c>
      <c r="F156">
        <f t="shared" si="13"/>
        <v>-1.2475411700712018</v>
      </c>
      <c r="H156">
        <f t="shared" si="14"/>
        <v>1.2475411700712018</v>
      </c>
    </row>
    <row r="157" spans="1:8" x14ac:dyDescent="0.25">
      <c r="A157">
        <v>2.3159999999999998</v>
      </c>
      <c r="B157">
        <v>2.5000346986482374</v>
      </c>
      <c r="C157">
        <f t="shared" si="10"/>
        <v>-0.18403469864823752</v>
      </c>
      <c r="D157">
        <f t="shared" si="11"/>
        <v>-0.26812653319728064</v>
      </c>
      <c r="E157">
        <f t="shared" si="12"/>
        <v>2.2319081654509567</v>
      </c>
      <c r="F157">
        <f t="shared" si="13"/>
        <v>8.4091834549043121E-2</v>
      </c>
      <c r="H157">
        <f t="shared" si="14"/>
        <v>8.4091834549043121E-2</v>
      </c>
    </row>
    <row r="158" spans="1:8" x14ac:dyDescent="0.25">
      <c r="A158">
        <v>1.8979999999999999</v>
      </c>
      <c r="B158">
        <v>2.4881380253313274</v>
      </c>
      <c r="C158">
        <f t="shared" si="10"/>
        <v>-0.59013802533132753</v>
      </c>
      <c r="D158">
        <f t="shared" si="11"/>
        <v>-3.7027781368025384E-2</v>
      </c>
      <c r="E158">
        <f t="shared" si="12"/>
        <v>2.4511102439633019</v>
      </c>
      <c r="F158">
        <f t="shared" si="13"/>
        <v>-0.553110243963302</v>
      </c>
      <c r="H158">
        <f t="shared" si="14"/>
        <v>0.553110243963302</v>
      </c>
    </row>
    <row r="159" spans="1:8" x14ac:dyDescent="0.25">
      <c r="A159">
        <v>1.702</v>
      </c>
      <c r="B159">
        <v>2.4769503502072259</v>
      </c>
      <c r="C159">
        <f t="shared" si="10"/>
        <v>-0.77495035020722591</v>
      </c>
      <c r="D159">
        <f t="shared" si="11"/>
        <v>-0.11873577069666309</v>
      </c>
      <c r="E159">
        <f t="shared" si="12"/>
        <v>2.3582145795105629</v>
      </c>
      <c r="F159">
        <f t="shared" si="13"/>
        <v>-0.65621457951056295</v>
      </c>
      <c r="H159">
        <f t="shared" si="14"/>
        <v>0.65621457951056295</v>
      </c>
    </row>
    <row r="160" spans="1:8" x14ac:dyDescent="0.25">
      <c r="A160">
        <v>2.883</v>
      </c>
      <c r="B160">
        <v>2.466474988425523</v>
      </c>
      <c r="C160">
        <f t="shared" si="10"/>
        <v>0.41652501157447697</v>
      </c>
      <c r="D160">
        <f t="shared" si="11"/>
        <v>-0.15592001046169385</v>
      </c>
      <c r="E160">
        <f t="shared" si="12"/>
        <v>2.3105549779638292</v>
      </c>
      <c r="F160">
        <f t="shared" si="13"/>
        <v>0.57244502203617076</v>
      </c>
      <c r="H160">
        <f t="shared" si="14"/>
        <v>0.57244502203617076</v>
      </c>
    </row>
    <row r="161" spans="1:8" x14ac:dyDescent="0.25">
      <c r="A161">
        <v>2.5649999999999999</v>
      </c>
      <c r="B161">
        <v>2.45671504406199</v>
      </c>
      <c r="C161">
        <f t="shared" si="10"/>
        <v>0.10828495593800991</v>
      </c>
      <c r="D161">
        <f t="shared" si="11"/>
        <v>8.3804832328784759E-2</v>
      </c>
      <c r="E161">
        <f t="shared" si="12"/>
        <v>2.5405198763907748</v>
      </c>
      <c r="F161">
        <f t="shared" si="13"/>
        <v>2.4480123609225135E-2</v>
      </c>
      <c r="H161">
        <f t="shared" si="14"/>
        <v>2.4480123609225135E-2</v>
      </c>
    </row>
    <row r="162" spans="1:8" x14ac:dyDescent="0.25">
      <c r="A162">
        <v>1.6859999999999999</v>
      </c>
      <c r="B162">
        <v>2.4476734091987802</v>
      </c>
      <c r="C162">
        <f t="shared" si="10"/>
        <v>-0.76167340919878024</v>
      </c>
      <c r="D162">
        <f t="shared" si="11"/>
        <v>2.1786933134727592E-2</v>
      </c>
      <c r="E162">
        <f t="shared" si="12"/>
        <v>2.469460342333508</v>
      </c>
      <c r="F162">
        <f t="shared" si="13"/>
        <v>-0.78346034233350803</v>
      </c>
      <c r="H162">
        <f t="shared" si="14"/>
        <v>0.78346034233350803</v>
      </c>
    </row>
    <row r="163" spans="1:8" x14ac:dyDescent="0.25">
      <c r="A163">
        <v>2.8359999999999999</v>
      </c>
      <c r="B163">
        <v>2.4393527630674368</v>
      </c>
      <c r="C163">
        <f t="shared" si="10"/>
        <v>0.3966472369325631</v>
      </c>
      <c r="D163">
        <f t="shared" si="11"/>
        <v>-0.15324868993079457</v>
      </c>
      <c r="E163">
        <f t="shared" si="12"/>
        <v>2.286104073136642</v>
      </c>
      <c r="F163">
        <f t="shared" si="13"/>
        <v>0.54989592686335786</v>
      </c>
      <c r="H163">
        <f t="shared" si="14"/>
        <v>0.54989592686335786</v>
      </c>
    </row>
    <row r="164" spans="1:8" x14ac:dyDescent="0.25">
      <c r="A164">
        <v>2.964</v>
      </c>
      <c r="B164">
        <v>2.4317555712549836</v>
      </c>
      <c r="C164">
        <f t="shared" si="10"/>
        <v>0.53224442874501632</v>
      </c>
      <c r="D164">
        <f t="shared" si="11"/>
        <v>7.9805424070831688E-2</v>
      </c>
      <c r="E164">
        <f t="shared" si="12"/>
        <v>2.5115609953258153</v>
      </c>
      <c r="F164">
        <f t="shared" si="13"/>
        <v>0.45243900467418463</v>
      </c>
      <c r="H164">
        <f t="shared" si="14"/>
        <v>0.45243900467418463</v>
      </c>
    </row>
    <row r="165" spans="1:8" x14ac:dyDescent="0.25">
      <c r="A165">
        <v>2.48</v>
      </c>
      <c r="B165">
        <v>2.4248840849733146</v>
      </c>
      <c r="C165">
        <f t="shared" si="10"/>
        <v>5.5115915026685336E-2</v>
      </c>
      <c r="D165">
        <f t="shared" si="11"/>
        <v>0.10708757906349728</v>
      </c>
      <c r="E165">
        <f t="shared" si="12"/>
        <v>2.5319716640368117</v>
      </c>
      <c r="F165">
        <f t="shared" si="13"/>
        <v>-5.1971664036811749E-2</v>
      </c>
      <c r="H165">
        <f t="shared" si="14"/>
        <v>5.1971664036811749E-2</v>
      </c>
    </row>
    <row r="166" spans="1:8" x14ac:dyDescent="0.25">
      <c r="A166">
        <v>1.1100000000000001</v>
      </c>
      <c r="B166">
        <v>2.4187403403921146</v>
      </c>
      <c r="C166">
        <f t="shared" si="10"/>
        <v>-1.3087403403921145</v>
      </c>
      <c r="D166">
        <f t="shared" si="11"/>
        <v>1.108932210336909E-2</v>
      </c>
      <c r="E166">
        <f t="shared" si="12"/>
        <v>2.4298296624954836</v>
      </c>
      <c r="F166">
        <f t="shared" si="13"/>
        <v>-1.3198296624954835</v>
      </c>
      <c r="H166">
        <f t="shared" si="14"/>
        <v>1.3198296624954835</v>
      </c>
    </row>
    <row r="167" spans="1:8" x14ac:dyDescent="0.25">
      <c r="A167">
        <v>2.16</v>
      </c>
      <c r="B167">
        <v>2.4133261580354954</v>
      </c>
      <c r="C167">
        <f t="shared" si="10"/>
        <v>-0.2533261580354953</v>
      </c>
      <c r="D167">
        <f t="shared" si="11"/>
        <v>-0.26331855648689345</v>
      </c>
      <c r="E167">
        <f t="shared" si="12"/>
        <v>2.150007601548602</v>
      </c>
      <c r="F167">
        <f t="shared" si="13"/>
        <v>9.992398451398099E-3</v>
      </c>
      <c r="H167">
        <f t="shared" si="14"/>
        <v>9.992398451398099E-3</v>
      </c>
    </row>
    <row r="168" spans="1:8" x14ac:dyDescent="0.25">
      <c r="A168">
        <v>1.8520000000000001</v>
      </c>
      <c r="B168">
        <v>2.4086431422425378</v>
      </c>
      <c r="C168">
        <f t="shared" si="10"/>
        <v>-0.55664314224253775</v>
      </c>
      <c r="D168">
        <f t="shared" si="11"/>
        <v>-5.0969222996741649E-2</v>
      </c>
      <c r="E168">
        <f t="shared" si="12"/>
        <v>2.3576739192457961</v>
      </c>
      <c r="F168">
        <f t="shared" si="13"/>
        <v>-0.50567391924579597</v>
      </c>
      <c r="H168">
        <f t="shared" si="14"/>
        <v>0.50567391924579597</v>
      </c>
    </row>
    <row r="169" spans="1:8" x14ac:dyDescent="0.25">
      <c r="A169">
        <v>2.7480000000000002</v>
      </c>
      <c r="B169">
        <v>2.404692680691888</v>
      </c>
      <c r="C169">
        <f t="shared" si="10"/>
        <v>0.3433073193081122</v>
      </c>
      <c r="D169">
        <f t="shared" si="11"/>
        <v>-0.11199660021919859</v>
      </c>
      <c r="E169">
        <f t="shared" si="12"/>
        <v>2.2926960804726892</v>
      </c>
      <c r="F169">
        <f t="shared" si="13"/>
        <v>0.45530391952731097</v>
      </c>
      <c r="H169">
        <f t="shared" si="14"/>
        <v>0.45530391952731097</v>
      </c>
    </row>
    <row r="170" spans="1:8" x14ac:dyDescent="0.25">
      <c r="A170">
        <v>1.1120000000000001</v>
      </c>
      <c r="B170">
        <v>2.4014759439905622</v>
      </c>
      <c r="C170">
        <f t="shared" si="10"/>
        <v>-1.2894759439905621</v>
      </c>
      <c r="D170">
        <f t="shared" si="11"/>
        <v>6.9073432644792168E-2</v>
      </c>
      <c r="E170">
        <f t="shared" si="12"/>
        <v>2.4705493766353546</v>
      </c>
      <c r="F170">
        <f t="shared" si="13"/>
        <v>-1.3585493766353545</v>
      </c>
      <c r="H170">
        <f t="shared" si="14"/>
        <v>1.3585493766353545</v>
      </c>
    </row>
    <row r="171" spans="1:8" x14ac:dyDescent="0.25">
      <c r="A171">
        <v>1.3260000000000001</v>
      </c>
      <c r="B171">
        <v>2.3989938853270671</v>
      </c>
      <c r="C171">
        <f t="shared" si="10"/>
        <v>-1.0729938853270671</v>
      </c>
      <c r="D171">
        <f t="shared" si="11"/>
        <v>-0.2594425599309011</v>
      </c>
      <c r="E171">
        <f t="shared" si="12"/>
        <v>2.139551325396166</v>
      </c>
      <c r="F171">
        <f t="shared" si="13"/>
        <v>-0.81355132539616593</v>
      </c>
      <c r="H171">
        <f t="shared" si="14"/>
        <v>0.81355132539616593</v>
      </c>
    </row>
    <row r="172" spans="1:8" x14ac:dyDescent="0.25">
      <c r="A172">
        <v>1.1120000000000001</v>
      </c>
      <c r="B172">
        <v>2.3972472401889524</v>
      </c>
      <c r="C172">
        <f t="shared" si="10"/>
        <v>-1.2852472401889523</v>
      </c>
      <c r="D172">
        <f t="shared" si="11"/>
        <v>-0.21588636972780589</v>
      </c>
      <c r="E172">
        <f t="shared" si="12"/>
        <v>2.1813608704611465</v>
      </c>
      <c r="F172">
        <f t="shared" si="13"/>
        <v>-1.0693608704611464</v>
      </c>
      <c r="H172">
        <f t="shared" si="14"/>
        <v>1.0693608704611464</v>
      </c>
    </row>
    <row r="173" spans="1:8" x14ac:dyDescent="0.25">
      <c r="A173">
        <v>1.1120000000000001</v>
      </c>
      <c r="B173">
        <v>2.3962365261448677</v>
      </c>
      <c r="C173">
        <f t="shared" si="10"/>
        <v>-1.2842365261448676</v>
      </c>
      <c r="D173">
        <f t="shared" si="11"/>
        <v>-0.2585917447260172</v>
      </c>
      <c r="E173">
        <f t="shared" si="12"/>
        <v>2.1376447814188504</v>
      </c>
      <c r="F173">
        <f t="shared" si="13"/>
        <v>-1.0256447814188503</v>
      </c>
      <c r="H173">
        <f t="shared" si="14"/>
        <v>1.0256447814188503</v>
      </c>
    </row>
    <row r="174" spans="1:8" x14ac:dyDescent="0.25">
      <c r="A174">
        <v>2.8460000000000001</v>
      </c>
      <c r="B174">
        <v>2.3959620426911976</v>
      </c>
      <c r="C174">
        <f t="shared" si="10"/>
        <v>0.45003795730880247</v>
      </c>
      <c r="D174">
        <f t="shared" si="11"/>
        <v>-0.25838838906034733</v>
      </c>
      <c r="E174">
        <f t="shared" si="12"/>
        <v>2.1375736536308505</v>
      </c>
      <c r="F174">
        <f t="shared" si="13"/>
        <v>0.70842634636914958</v>
      </c>
      <c r="H174">
        <f t="shared" si="14"/>
        <v>0.70842634636914958</v>
      </c>
    </row>
    <row r="175" spans="1:8" x14ac:dyDescent="0.25">
      <c r="A175">
        <v>2.78</v>
      </c>
      <c r="B175">
        <v>2.3964238711633139</v>
      </c>
      <c r="C175">
        <f t="shared" si="10"/>
        <v>0.3835761288366859</v>
      </c>
      <c r="D175">
        <f t="shared" si="11"/>
        <v>9.0547637010531049E-2</v>
      </c>
      <c r="E175">
        <f t="shared" si="12"/>
        <v>2.4869715081738448</v>
      </c>
      <c r="F175">
        <f t="shared" si="13"/>
        <v>0.29302849182615498</v>
      </c>
      <c r="H175">
        <f t="shared" si="14"/>
        <v>0.29302849182615498</v>
      </c>
    </row>
    <row r="176" spans="1:8" x14ac:dyDescent="0.25">
      <c r="A176">
        <v>1.1120000000000001</v>
      </c>
      <c r="B176">
        <v>2.3976218747114726</v>
      </c>
      <c r="C176">
        <f t="shared" si="10"/>
        <v>-1.2856218747114725</v>
      </c>
      <c r="D176">
        <f t="shared" si="11"/>
        <v>7.7175517121941206E-2</v>
      </c>
      <c r="E176">
        <f t="shared" si="12"/>
        <v>2.4747973918334139</v>
      </c>
      <c r="F176">
        <f t="shared" si="13"/>
        <v>-1.3627973918334138</v>
      </c>
      <c r="H176">
        <f t="shared" si="14"/>
        <v>1.3627973918334138</v>
      </c>
    </row>
    <row r="177" spans="1:8" x14ac:dyDescent="0.25">
      <c r="A177">
        <v>1.1100000000000001</v>
      </c>
      <c r="B177">
        <v>2.3995556983413664</v>
      </c>
      <c r="C177">
        <f t="shared" si="10"/>
        <v>-1.2895556983413663</v>
      </c>
      <c r="D177">
        <f t="shared" si="11"/>
        <v>-0.25866712119194823</v>
      </c>
      <c r="E177">
        <f t="shared" si="12"/>
        <v>2.1408885771494184</v>
      </c>
      <c r="F177">
        <f t="shared" si="13"/>
        <v>-1.0308885771494183</v>
      </c>
      <c r="H177">
        <f t="shared" si="14"/>
        <v>1.0308885771494183</v>
      </c>
    </row>
    <row r="178" spans="1:8" x14ac:dyDescent="0.25">
      <c r="A178">
        <v>1.9059999999999999</v>
      </c>
      <c r="B178">
        <v>2.4022247690193201</v>
      </c>
      <c r="C178">
        <f t="shared" si="10"/>
        <v>-0.49622476901932022</v>
      </c>
      <c r="D178">
        <f t="shared" si="11"/>
        <v>-0.25945860650628289</v>
      </c>
      <c r="E178">
        <f t="shared" si="12"/>
        <v>2.1427661625130372</v>
      </c>
      <c r="F178">
        <f t="shared" si="13"/>
        <v>-0.23676616251303728</v>
      </c>
      <c r="H178">
        <f t="shared" si="14"/>
        <v>0.23676616251303728</v>
      </c>
    </row>
    <row r="179" spans="1:8" x14ac:dyDescent="0.25">
      <c r="A179">
        <v>1.1100000000000001</v>
      </c>
      <c r="B179">
        <v>2.4056282958420878</v>
      </c>
      <c r="C179">
        <f t="shared" si="10"/>
        <v>-1.2956282958420877</v>
      </c>
      <c r="D179">
        <f t="shared" si="11"/>
        <v>-9.9840423526687219E-2</v>
      </c>
      <c r="E179">
        <f t="shared" si="12"/>
        <v>2.3057878723154004</v>
      </c>
      <c r="F179">
        <f t="shared" si="13"/>
        <v>-1.1957878723154003</v>
      </c>
      <c r="H179">
        <f t="shared" si="14"/>
        <v>1.1957878723154003</v>
      </c>
    </row>
    <row r="180" spans="1:8" x14ac:dyDescent="0.25">
      <c r="A180">
        <v>2.6720000000000002</v>
      </c>
      <c r="B180">
        <v>2.4097652702712176</v>
      </c>
      <c r="C180">
        <f t="shared" si="10"/>
        <v>0.26223472972878259</v>
      </c>
      <c r="D180">
        <f t="shared" si="11"/>
        <v>-0.26068041312342805</v>
      </c>
      <c r="E180">
        <f t="shared" si="12"/>
        <v>2.1490848571477894</v>
      </c>
      <c r="F180">
        <f t="shared" si="13"/>
        <v>0.52291514285221075</v>
      </c>
      <c r="H180">
        <f t="shared" si="14"/>
        <v>0.52291514285221075</v>
      </c>
    </row>
    <row r="181" spans="1:8" x14ac:dyDescent="0.25">
      <c r="A181">
        <v>1.1100000000000001</v>
      </c>
      <c r="B181">
        <v>2.4146344664319037</v>
      </c>
      <c r="C181">
        <f t="shared" si="10"/>
        <v>-1.3046344664319036</v>
      </c>
      <c r="D181">
        <f t="shared" si="11"/>
        <v>5.2761627621431058E-2</v>
      </c>
      <c r="E181">
        <f t="shared" si="12"/>
        <v>2.4673960940533348</v>
      </c>
      <c r="F181">
        <f t="shared" si="13"/>
        <v>-1.3573960940533347</v>
      </c>
      <c r="H181">
        <f t="shared" si="14"/>
        <v>1.3573960940533347</v>
      </c>
    </row>
    <row r="182" spans="1:8" x14ac:dyDescent="0.25">
      <c r="A182">
        <v>1.994</v>
      </c>
      <c r="B182">
        <v>2.4202344414762371</v>
      </c>
      <c r="C182">
        <f t="shared" si="10"/>
        <v>-0.42623444147623712</v>
      </c>
      <c r="D182">
        <f t="shared" si="11"/>
        <v>-0.26249245464609899</v>
      </c>
      <c r="E182">
        <f t="shared" si="12"/>
        <v>2.1577419868301382</v>
      </c>
      <c r="F182">
        <f t="shared" si="13"/>
        <v>-0.16374198683013819</v>
      </c>
      <c r="H182">
        <f t="shared" si="14"/>
        <v>0.16374198683013819</v>
      </c>
    </row>
    <row r="183" spans="1:8" x14ac:dyDescent="0.25">
      <c r="A183">
        <v>1.1120000000000001</v>
      </c>
      <c r="B183">
        <v>2.4265635360107547</v>
      </c>
      <c r="C183">
        <f t="shared" si="10"/>
        <v>-1.3145635360107546</v>
      </c>
      <c r="D183">
        <f t="shared" si="11"/>
        <v>-8.5758369625018899E-2</v>
      </c>
      <c r="E183">
        <f t="shared" si="12"/>
        <v>2.3408051663857359</v>
      </c>
      <c r="F183">
        <f t="shared" si="13"/>
        <v>-1.2288051663857358</v>
      </c>
      <c r="H183">
        <f t="shared" si="14"/>
        <v>1.2288051663857358</v>
      </c>
    </row>
    <row r="184" spans="1:8" x14ac:dyDescent="0.25">
      <c r="A184">
        <v>1.1120000000000001</v>
      </c>
      <c r="B184">
        <v>2.4336198745881537</v>
      </c>
      <c r="C184">
        <f t="shared" si="10"/>
        <v>-1.3216198745881536</v>
      </c>
      <c r="D184">
        <f t="shared" si="11"/>
        <v>-0.26449018344536379</v>
      </c>
      <c r="E184">
        <f t="shared" si="12"/>
        <v>2.16912969114279</v>
      </c>
      <c r="F184">
        <f t="shared" si="13"/>
        <v>-1.0571296911427899</v>
      </c>
      <c r="H184">
        <f t="shared" si="14"/>
        <v>1.0571296911427899</v>
      </c>
    </row>
    <row r="185" spans="1:8" x14ac:dyDescent="0.25">
      <c r="A185">
        <v>1.1120000000000001</v>
      </c>
      <c r="B185">
        <v>2.4414013662630243</v>
      </c>
      <c r="C185">
        <f t="shared" si="10"/>
        <v>-1.3294013662630242</v>
      </c>
      <c r="D185">
        <f t="shared" si="11"/>
        <v>-0.26590991876713649</v>
      </c>
      <c r="E185">
        <f t="shared" si="12"/>
        <v>2.175491447495888</v>
      </c>
      <c r="F185">
        <f t="shared" si="13"/>
        <v>-1.0634914474958879</v>
      </c>
      <c r="H185">
        <f t="shared" si="14"/>
        <v>1.0634914474958879</v>
      </c>
    </row>
    <row r="186" spans="1:8" x14ac:dyDescent="0.25">
      <c r="A186">
        <v>2.2320000000000002</v>
      </c>
      <c r="B186">
        <v>2.4499057052114459</v>
      </c>
      <c r="C186">
        <f t="shared" si="10"/>
        <v>-0.2179057052114457</v>
      </c>
      <c r="D186">
        <f t="shared" si="11"/>
        <v>-0.26747555489212044</v>
      </c>
      <c r="E186">
        <f t="shared" si="12"/>
        <v>2.1824301503193255</v>
      </c>
      <c r="F186">
        <f t="shared" si="13"/>
        <v>4.9569849680674682E-2</v>
      </c>
      <c r="H186">
        <f t="shared" si="14"/>
        <v>4.9569849680674682E-2</v>
      </c>
    </row>
    <row r="187" spans="1:8" x14ac:dyDescent="0.25">
      <c r="A187">
        <v>2.02</v>
      </c>
      <c r="B187">
        <v>2.4591303714142487</v>
      </c>
      <c r="C187">
        <f t="shared" si="10"/>
        <v>-0.43913037141424871</v>
      </c>
      <c r="D187">
        <f t="shared" si="11"/>
        <v>-4.3842627888542873E-2</v>
      </c>
      <c r="E187">
        <f t="shared" si="12"/>
        <v>2.4152877435257061</v>
      </c>
      <c r="F187">
        <f t="shared" si="13"/>
        <v>-0.39528774352570606</v>
      </c>
      <c r="H187">
        <f t="shared" si="14"/>
        <v>0.39528774352570606</v>
      </c>
    </row>
    <row r="188" spans="1:8" x14ac:dyDescent="0.25">
      <c r="A188">
        <v>2.5579999999999998</v>
      </c>
      <c r="B188">
        <v>2.4690726314037525</v>
      </c>
      <c r="C188">
        <f t="shared" si="10"/>
        <v>8.892736859624728E-2</v>
      </c>
      <c r="D188">
        <f t="shared" si="11"/>
        <v>-8.8353030728546833E-2</v>
      </c>
      <c r="E188">
        <f t="shared" si="12"/>
        <v>2.3807196006752056</v>
      </c>
      <c r="F188">
        <f t="shared" si="13"/>
        <v>0.17728039932479422</v>
      </c>
      <c r="H188">
        <f t="shared" si="14"/>
        <v>0.17728039932479422</v>
      </c>
    </row>
    <row r="189" spans="1:8" x14ac:dyDescent="0.25">
      <c r="A189">
        <v>3.0619999999999998</v>
      </c>
      <c r="B189">
        <v>2.4797295390737508</v>
      </c>
      <c r="C189">
        <f t="shared" si="10"/>
        <v>0.58227046092624901</v>
      </c>
      <c r="D189">
        <f t="shared" si="11"/>
        <v>1.7892186561564952E-2</v>
      </c>
      <c r="E189">
        <f t="shared" si="12"/>
        <v>2.4976217256353159</v>
      </c>
      <c r="F189">
        <f t="shared" si="13"/>
        <v>0.56437827436468391</v>
      </c>
      <c r="H189">
        <f t="shared" si="14"/>
        <v>0.56437827436468391</v>
      </c>
    </row>
    <row r="190" spans="1:8" x14ac:dyDescent="0.25">
      <c r="A190">
        <v>2.6840000000000002</v>
      </c>
      <c r="B190">
        <v>2.4910979365525061</v>
      </c>
      <c r="C190">
        <f t="shared" si="10"/>
        <v>0.19290206344749405</v>
      </c>
      <c r="D190">
        <f t="shared" si="11"/>
        <v>0.1171528167383613</v>
      </c>
      <c r="E190">
        <f t="shared" si="12"/>
        <v>2.6082507532908674</v>
      </c>
      <c r="F190">
        <f t="shared" si="13"/>
        <v>7.5749246709132745E-2</v>
      </c>
      <c r="H190">
        <f t="shared" si="14"/>
        <v>7.5749246709132745E-2</v>
      </c>
    </row>
    <row r="191" spans="1:8" x14ac:dyDescent="0.25">
      <c r="A191">
        <v>1.1120000000000001</v>
      </c>
      <c r="B191">
        <v>2.5031744551384958</v>
      </c>
      <c r="C191">
        <f t="shared" si="10"/>
        <v>-1.3911744551384957</v>
      </c>
      <c r="D191">
        <f t="shared" si="11"/>
        <v>3.8811895165635803E-2</v>
      </c>
      <c r="E191">
        <f t="shared" si="12"/>
        <v>2.5419863503041316</v>
      </c>
      <c r="F191">
        <f t="shared" si="13"/>
        <v>-1.4299863503041315</v>
      </c>
      <c r="H191">
        <f t="shared" si="14"/>
        <v>1.4299863503041315</v>
      </c>
    </row>
    <row r="192" spans="1:8" x14ac:dyDescent="0.25">
      <c r="A192">
        <v>1.26</v>
      </c>
      <c r="B192">
        <v>2.5159555162986291</v>
      </c>
      <c r="C192">
        <f t="shared" si="10"/>
        <v>-1.2559555162986291</v>
      </c>
      <c r="D192">
        <f t="shared" si="11"/>
        <v>-0.27990430037386532</v>
      </c>
      <c r="E192">
        <f t="shared" si="12"/>
        <v>2.2360512159247636</v>
      </c>
      <c r="F192">
        <f t="shared" si="13"/>
        <v>-0.97605121592476363</v>
      </c>
      <c r="H192">
        <f t="shared" si="14"/>
        <v>0.97605121592476363</v>
      </c>
    </row>
    <row r="193" spans="1:8" x14ac:dyDescent="0.25">
      <c r="A193">
        <v>2.2120000000000002</v>
      </c>
      <c r="B193">
        <v>2.529437332728647</v>
      </c>
      <c r="C193">
        <f t="shared" si="10"/>
        <v>-0.31743733272864683</v>
      </c>
      <c r="D193">
        <f t="shared" si="11"/>
        <v>-0.25269824987928419</v>
      </c>
      <c r="E193">
        <f t="shared" si="12"/>
        <v>2.276739082849363</v>
      </c>
      <c r="F193">
        <f t="shared" si="13"/>
        <v>-6.4739082849362806E-2</v>
      </c>
      <c r="H193">
        <f t="shared" si="14"/>
        <v>6.4739082849362806E-2</v>
      </c>
    </row>
    <row r="194" spans="1:8" x14ac:dyDescent="0.25">
      <c r="A194">
        <v>2.9180000000000001</v>
      </c>
      <c r="B194">
        <v>2.5436159094753799</v>
      </c>
      <c r="C194">
        <f t="shared" si="10"/>
        <v>0.37438409052462029</v>
      </c>
      <c r="D194">
        <f t="shared" si="11"/>
        <v>-6.3868391345003744E-2</v>
      </c>
      <c r="E194">
        <f t="shared" si="12"/>
        <v>2.4797475181303761</v>
      </c>
      <c r="F194">
        <f t="shared" si="13"/>
        <v>0.43825248186962407</v>
      </c>
      <c r="H194">
        <f t="shared" si="14"/>
        <v>0.43825248186962407</v>
      </c>
    </row>
    <row r="195" spans="1:8" x14ac:dyDescent="0.25">
      <c r="A195">
        <v>2.6059999999999999</v>
      </c>
      <c r="B195">
        <v>2.5584870451205397</v>
      </c>
      <c r="C195">
        <f t="shared" ref="C195:C258" si="15">A195-B195</f>
        <v>4.7512954879460167E-2</v>
      </c>
      <c r="D195">
        <f t="shared" si="11"/>
        <v>7.5326079013553593E-2</v>
      </c>
      <c r="E195">
        <f t="shared" si="12"/>
        <v>2.6338131241340932</v>
      </c>
      <c r="F195">
        <f t="shared" si="13"/>
        <v>-2.7813124134093314E-2</v>
      </c>
      <c r="H195">
        <f t="shared" si="14"/>
        <v>2.7813124134093314E-2</v>
      </c>
    </row>
    <row r="196" spans="1:8" x14ac:dyDescent="0.25">
      <c r="A196">
        <v>3.1840000000000002</v>
      </c>
      <c r="B196">
        <v>2.5740463330256884</v>
      </c>
      <c r="C196">
        <f t="shared" si="15"/>
        <v>0.60995366697431175</v>
      </c>
      <c r="D196">
        <f t="shared" ref="D196:D259" si="16">$J$1*C195</f>
        <v>9.5596065217473849E-3</v>
      </c>
      <c r="E196">
        <f t="shared" ref="E196:E259" si="17">B196+D196</f>
        <v>2.5836059395474358</v>
      </c>
      <c r="F196">
        <f t="shared" ref="F196:F259" si="18">A196-E196</f>
        <v>0.60039406045256438</v>
      </c>
      <c r="H196">
        <f t="shared" ref="H196:H259" si="19">ABS(F196)</f>
        <v>0.60039406045256438</v>
      </c>
    </row>
    <row r="197" spans="1:8" x14ac:dyDescent="0.25">
      <c r="A197">
        <v>3.2120000000000002</v>
      </c>
      <c r="B197">
        <v>2.5902891626380224</v>
      </c>
      <c r="C197">
        <f t="shared" si="15"/>
        <v>0.62171083736197774</v>
      </c>
      <c r="D197">
        <f t="shared" si="16"/>
        <v>0.12272267779523152</v>
      </c>
      <c r="E197">
        <f t="shared" si="17"/>
        <v>2.7130118404332539</v>
      </c>
      <c r="F197">
        <f t="shared" si="18"/>
        <v>0.49898815956674625</v>
      </c>
      <c r="H197">
        <f t="shared" si="19"/>
        <v>0.49898815956674625</v>
      </c>
    </row>
    <row r="198" spans="1:8" x14ac:dyDescent="0.25">
      <c r="A198">
        <v>1.224</v>
      </c>
      <c r="B198">
        <v>2.6072107208565796</v>
      </c>
      <c r="C198">
        <f t="shared" si="15"/>
        <v>-1.3832107208565796</v>
      </c>
      <c r="D198">
        <f t="shared" si="16"/>
        <v>0.12508822047722992</v>
      </c>
      <c r="E198">
        <f t="shared" si="17"/>
        <v>2.7322989413338097</v>
      </c>
      <c r="F198">
        <f t="shared" si="18"/>
        <v>-1.5082989413338097</v>
      </c>
      <c r="H198">
        <f t="shared" si="19"/>
        <v>1.5082989413338097</v>
      </c>
    </row>
    <row r="199" spans="1:8" x14ac:dyDescent="0.25">
      <c r="A199">
        <v>2.0579999999999998</v>
      </c>
      <c r="B199">
        <v>2.624805993458462</v>
      </c>
      <c r="C199">
        <f t="shared" si="15"/>
        <v>-0.56680599345846217</v>
      </c>
      <c r="D199">
        <f t="shared" si="16"/>
        <v>-0.27830199703634378</v>
      </c>
      <c r="E199">
        <f t="shared" si="17"/>
        <v>2.3465039964221184</v>
      </c>
      <c r="F199">
        <f t="shared" si="18"/>
        <v>-0.28850399642211855</v>
      </c>
      <c r="H199">
        <f t="shared" si="19"/>
        <v>0.28850399642211855</v>
      </c>
    </row>
    <row r="200" spans="1:8" x14ac:dyDescent="0.25">
      <c r="A200">
        <v>3.016</v>
      </c>
      <c r="B200">
        <v>2.6430697665846612</v>
      </c>
      <c r="C200">
        <f t="shared" si="15"/>
        <v>0.37293023341533882</v>
      </c>
      <c r="D200">
        <f t="shared" si="16"/>
        <v>-0.11404136588384259</v>
      </c>
      <c r="E200">
        <f t="shared" si="17"/>
        <v>2.5290284007008186</v>
      </c>
      <c r="F200">
        <f t="shared" si="18"/>
        <v>0.48697159929918143</v>
      </c>
      <c r="H200">
        <f t="shared" si="19"/>
        <v>0.48697159929918143</v>
      </c>
    </row>
    <row r="201" spans="1:8" x14ac:dyDescent="0.25">
      <c r="A201">
        <v>2.4620000000000002</v>
      </c>
      <c r="B201">
        <v>2.6619966282850354</v>
      </c>
      <c r="C201">
        <f t="shared" si="15"/>
        <v>-0.19999662828503517</v>
      </c>
      <c r="D201">
        <f t="shared" si="16"/>
        <v>7.503356296316617E-2</v>
      </c>
      <c r="E201">
        <f t="shared" si="17"/>
        <v>2.7370301912482016</v>
      </c>
      <c r="F201">
        <f t="shared" si="18"/>
        <v>-0.27503019124820138</v>
      </c>
      <c r="H201">
        <f t="shared" si="19"/>
        <v>0.27503019124820138</v>
      </c>
    </row>
    <row r="202" spans="1:8" x14ac:dyDescent="0.25">
      <c r="A202">
        <v>2.0960000000000001</v>
      </c>
      <c r="B202">
        <v>2.681580970121987</v>
      </c>
      <c r="C202">
        <f t="shared" si="15"/>
        <v>-0.58558097012198695</v>
      </c>
      <c r="D202">
        <f t="shared" si="16"/>
        <v>-4.0239321610949078E-2</v>
      </c>
      <c r="E202">
        <f t="shared" si="17"/>
        <v>2.6413416485110379</v>
      </c>
      <c r="F202">
        <f t="shared" si="18"/>
        <v>-0.54534164851103784</v>
      </c>
      <c r="H202">
        <f t="shared" si="19"/>
        <v>0.54534164851103784</v>
      </c>
    </row>
    <row r="203" spans="1:8" x14ac:dyDescent="0.25">
      <c r="A203">
        <v>2.7320000000000002</v>
      </c>
      <c r="B203">
        <v>2.7018169888323653</v>
      </c>
      <c r="C203">
        <f t="shared" si="15"/>
        <v>3.0183011167634888E-2</v>
      </c>
      <c r="D203">
        <f t="shared" si="16"/>
        <v>-0.11781889118854377</v>
      </c>
      <c r="E203">
        <f t="shared" si="17"/>
        <v>2.5839980976438217</v>
      </c>
      <c r="F203">
        <f t="shared" si="18"/>
        <v>0.14800190235617849</v>
      </c>
      <c r="H203">
        <f t="shared" si="19"/>
        <v>0.14800190235617849</v>
      </c>
    </row>
    <row r="204" spans="1:8" x14ac:dyDescent="0.25">
      <c r="A204">
        <v>2.9220000000000002</v>
      </c>
      <c r="B204">
        <v>2.7226986880470978</v>
      </c>
      <c r="C204">
        <f t="shared" si="15"/>
        <v>0.19930131195290235</v>
      </c>
      <c r="D204">
        <f t="shared" si="16"/>
        <v>6.0728218469281395E-3</v>
      </c>
      <c r="E204">
        <f t="shared" si="17"/>
        <v>2.7287715098940257</v>
      </c>
      <c r="F204">
        <f t="shared" si="18"/>
        <v>0.19322849010597443</v>
      </c>
      <c r="H204">
        <f t="shared" si="19"/>
        <v>0.19322849010597443</v>
      </c>
    </row>
    <row r="205" spans="1:8" x14ac:dyDescent="0.25">
      <c r="A205">
        <v>3.242</v>
      </c>
      <c r="B205">
        <v>2.7442198800680417</v>
      </c>
      <c r="C205">
        <f t="shared" si="15"/>
        <v>0.49778011993195825</v>
      </c>
      <c r="D205">
        <f t="shared" si="16"/>
        <v>4.0099423964923948E-2</v>
      </c>
      <c r="E205">
        <f t="shared" si="17"/>
        <v>2.7843193040329659</v>
      </c>
      <c r="F205">
        <f t="shared" si="18"/>
        <v>0.45768069596703409</v>
      </c>
      <c r="H205">
        <f t="shared" si="19"/>
        <v>0.45768069596703409</v>
      </c>
    </row>
    <row r="206" spans="1:8" x14ac:dyDescent="0.25">
      <c r="A206">
        <v>2.786</v>
      </c>
      <c r="B206">
        <v>2.7663741877015382</v>
      </c>
      <c r="C206">
        <f t="shared" si="15"/>
        <v>1.9625812298461831E-2</v>
      </c>
      <c r="D206">
        <f t="shared" si="16"/>
        <v>0.10015336013031</v>
      </c>
      <c r="E206">
        <f t="shared" si="17"/>
        <v>2.8665275478318484</v>
      </c>
      <c r="F206">
        <f t="shared" si="18"/>
        <v>-8.0527547831848345E-2</v>
      </c>
      <c r="H206">
        <f t="shared" si="19"/>
        <v>8.0527547831848345E-2</v>
      </c>
    </row>
    <row r="207" spans="1:8" x14ac:dyDescent="0.25">
      <c r="A207">
        <v>1.9339999999999999</v>
      </c>
      <c r="B207">
        <v>2.7891550461481049</v>
      </c>
      <c r="C207">
        <f t="shared" si="15"/>
        <v>-0.855155046148105</v>
      </c>
      <c r="D207">
        <f t="shared" si="16"/>
        <v>3.9487134344505202E-3</v>
      </c>
      <c r="E207">
        <f t="shared" si="17"/>
        <v>2.7931037595825554</v>
      </c>
      <c r="F207">
        <f t="shared" si="18"/>
        <v>-0.85910375958255547</v>
      </c>
      <c r="H207">
        <f t="shared" si="19"/>
        <v>0.85910375958255547</v>
      </c>
    </row>
    <row r="208" spans="1:8" x14ac:dyDescent="0.25">
      <c r="A208">
        <v>1.458</v>
      </c>
      <c r="B208">
        <v>2.8125557049477323</v>
      </c>
      <c r="C208">
        <f t="shared" si="15"/>
        <v>-1.3545557049477324</v>
      </c>
      <c r="D208">
        <f t="shared" si="16"/>
        <v>-0.17205719528499872</v>
      </c>
      <c r="E208">
        <f t="shared" si="17"/>
        <v>2.6404985096627338</v>
      </c>
      <c r="F208">
        <f t="shared" si="18"/>
        <v>-1.1824985096627338</v>
      </c>
      <c r="H208">
        <f t="shared" si="19"/>
        <v>1.1824985096627338</v>
      </c>
    </row>
    <row r="209" spans="1:8" x14ac:dyDescent="0.25">
      <c r="A209">
        <v>2.1960000000000002</v>
      </c>
      <c r="B209">
        <v>2.8365692299801917</v>
      </c>
      <c r="C209">
        <f t="shared" si="15"/>
        <v>-0.6405692299801915</v>
      </c>
      <c r="D209">
        <f t="shared" si="16"/>
        <v>-0.27253660783548372</v>
      </c>
      <c r="E209">
        <f t="shared" si="17"/>
        <v>2.5640326221447078</v>
      </c>
      <c r="F209">
        <f t="shared" si="18"/>
        <v>-0.36803262214470767</v>
      </c>
      <c r="H209">
        <f t="shared" si="19"/>
        <v>0.36803262214470767</v>
      </c>
    </row>
    <row r="210" spans="1:8" x14ac:dyDescent="0.25">
      <c r="A210">
        <v>3.2360000000000002</v>
      </c>
      <c r="B210">
        <v>2.861188505519761</v>
      </c>
      <c r="C210">
        <f t="shared" si="15"/>
        <v>0.3748114944802392</v>
      </c>
      <c r="D210">
        <f t="shared" si="16"/>
        <v>-0.12888252907201453</v>
      </c>
      <c r="E210">
        <f t="shared" si="17"/>
        <v>2.7323059764477464</v>
      </c>
      <c r="F210">
        <f t="shared" si="18"/>
        <v>0.50369402355225379</v>
      </c>
      <c r="H210">
        <f t="shared" si="19"/>
        <v>0.50369402355225379</v>
      </c>
    </row>
    <row r="211" spans="1:8" x14ac:dyDescent="0.25">
      <c r="A211">
        <v>2.794</v>
      </c>
      <c r="B211">
        <v>2.8864062363437712</v>
      </c>
      <c r="C211">
        <f t="shared" si="15"/>
        <v>-9.2406236343771209E-2</v>
      </c>
      <c r="D211">
        <f t="shared" si="16"/>
        <v>7.5412072689424126E-2</v>
      </c>
      <c r="E211">
        <f t="shared" si="17"/>
        <v>2.9618183090331955</v>
      </c>
      <c r="F211">
        <f t="shared" si="18"/>
        <v>-0.1678183090331955</v>
      </c>
      <c r="H211">
        <f t="shared" si="19"/>
        <v>0.1678183090331955</v>
      </c>
    </row>
    <row r="212" spans="1:8" x14ac:dyDescent="0.25">
      <c r="A212">
        <v>2.3359999999999999</v>
      </c>
      <c r="B212">
        <v>2.9122149498943353</v>
      </c>
      <c r="C212">
        <f t="shared" si="15"/>
        <v>-0.57621494989433542</v>
      </c>
      <c r="D212">
        <f t="shared" si="16"/>
        <v>-1.8592134752366766E-2</v>
      </c>
      <c r="E212">
        <f t="shared" si="17"/>
        <v>2.8936228151419683</v>
      </c>
      <c r="F212">
        <f t="shared" si="18"/>
        <v>-0.55762281514196843</v>
      </c>
      <c r="H212">
        <f t="shared" si="19"/>
        <v>0.55762281514196843</v>
      </c>
    </row>
    <row r="213" spans="1:8" x14ac:dyDescent="0.25">
      <c r="A213">
        <v>2.9660000000000002</v>
      </c>
      <c r="B213">
        <v>2.93860699849263</v>
      </c>
      <c r="C213">
        <f t="shared" si="15"/>
        <v>2.7393001507370229E-2</v>
      </c>
      <c r="D213">
        <f t="shared" si="16"/>
        <v>-0.11593444791874027</v>
      </c>
      <c r="E213">
        <f t="shared" si="17"/>
        <v>2.8226725505738899</v>
      </c>
      <c r="F213">
        <f t="shared" si="18"/>
        <v>0.14332744942611031</v>
      </c>
      <c r="H213">
        <f t="shared" si="19"/>
        <v>0.14332744942611031</v>
      </c>
    </row>
    <row r="214" spans="1:8" x14ac:dyDescent="0.25">
      <c r="A214">
        <v>2.5059999999999998</v>
      </c>
      <c r="B214">
        <v>2.9655745616050702</v>
      </c>
      <c r="C214">
        <f t="shared" si="15"/>
        <v>-0.45957456160507038</v>
      </c>
      <c r="D214">
        <f t="shared" si="16"/>
        <v>5.5114719032828899E-3</v>
      </c>
      <c r="E214">
        <f t="shared" si="17"/>
        <v>2.9710860335083531</v>
      </c>
      <c r="F214">
        <f t="shared" si="18"/>
        <v>-0.46508603350835331</v>
      </c>
      <c r="H214">
        <f t="shared" si="19"/>
        <v>0.46508603350835331</v>
      </c>
    </row>
    <row r="215" spans="1:8" x14ac:dyDescent="0.25">
      <c r="A215">
        <v>3.0139999999999998</v>
      </c>
      <c r="B215">
        <v>2.9931096481606962</v>
      </c>
      <c r="C215">
        <f t="shared" si="15"/>
        <v>2.0890351839303545E-2</v>
      </c>
      <c r="D215">
        <f t="shared" si="16"/>
        <v>-9.2466401794940159E-2</v>
      </c>
      <c r="E215">
        <f t="shared" si="17"/>
        <v>2.9006432463657559</v>
      </c>
      <c r="F215">
        <f t="shared" si="18"/>
        <v>0.11335675363424391</v>
      </c>
      <c r="H215">
        <f t="shared" si="19"/>
        <v>0.11335675363424391</v>
      </c>
    </row>
    <row r="216" spans="1:8" x14ac:dyDescent="0.25">
      <c r="A216">
        <v>2.8439999999999999</v>
      </c>
      <c r="B216">
        <v>3.0212040989191071</v>
      </c>
      <c r="C216">
        <f t="shared" si="15"/>
        <v>-0.17720409891910727</v>
      </c>
      <c r="D216">
        <f t="shared" si="16"/>
        <v>4.2031387900678726E-3</v>
      </c>
      <c r="E216">
        <f t="shared" si="17"/>
        <v>3.025407237709175</v>
      </c>
      <c r="F216">
        <f t="shared" si="18"/>
        <v>-0.18140723770917511</v>
      </c>
      <c r="H216">
        <f t="shared" si="19"/>
        <v>0.18140723770917511</v>
      </c>
    </row>
    <row r="217" spans="1:8" x14ac:dyDescent="0.25">
      <c r="A217">
        <v>3.024</v>
      </c>
      <c r="B217">
        <v>3.0498495888882142</v>
      </c>
      <c r="C217">
        <f t="shared" si="15"/>
        <v>-2.5849588888214203E-2</v>
      </c>
      <c r="D217">
        <f t="shared" si="16"/>
        <v>-3.5653464702524382E-2</v>
      </c>
      <c r="E217">
        <f t="shared" si="17"/>
        <v>3.0141961241856898</v>
      </c>
      <c r="F217">
        <f t="shared" si="18"/>
        <v>9.8038758143101923E-3</v>
      </c>
      <c r="H217">
        <f t="shared" si="19"/>
        <v>9.8038758143101923E-3</v>
      </c>
    </row>
    <row r="218" spans="1:8" x14ac:dyDescent="0.25">
      <c r="A218">
        <v>3.4740000000000002</v>
      </c>
      <c r="B218">
        <v>3.0790376297911197</v>
      </c>
      <c r="C218">
        <f t="shared" si="15"/>
        <v>0.39496237020888048</v>
      </c>
      <c r="D218">
        <f t="shared" si="16"/>
        <v>-5.2009372843086973E-3</v>
      </c>
      <c r="E218">
        <f t="shared" si="17"/>
        <v>3.073836692506811</v>
      </c>
      <c r="F218">
        <f t="shared" si="18"/>
        <v>0.40016330749318918</v>
      </c>
      <c r="H218">
        <f t="shared" si="19"/>
        <v>0.40016330749318918</v>
      </c>
    </row>
    <row r="219" spans="1:8" x14ac:dyDescent="0.25">
      <c r="A219">
        <v>3.1680000000000001</v>
      </c>
      <c r="B219">
        <v>3.1087595725813748</v>
      </c>
      <c r="C219">
        <f t="shared" si="15"/>
        <v>5.9240427418625341E-2</v>
      </c>
      <c r="D219">
        <f t="shared" si="16"/>
        <v>7.9466428886026744E-2</v>
      </c>
      <c r="E219">
        <f t="shared" si="17"/>
        <v>3.1882260014674015</v>
      </c>
      <c r="F219">
        <f t="shared" si="18"/>
        <v>-2.0226001467401389E-2</v>
      </c>
      <c r="H219">
        <f t="shared" si="19"/>
        <v>2.0226001467401389E-2</v>
      </c>
    </row>
    <row r="220" spans="1:8" x14ac:dyDescent="0.25">
      <c r="A220">
        <v>1.1120000000000001</v>
      </c>
      <c r="B220">
        <v>3.1390066100058789</v>
      </c>
      <c r="C220">
        <f t="shared" si="15"/>
        <v>-2.0270066100058788</v>
      </c>
      <c r="D220">
        <f t="shared" si="16"/>
        <v>1.1919173996627418E-2</v>
      </c>
      <c r="E220">
        <f t="shared" si="17"/>
        <v>3.1509257840025064</v>
      </c>
      <c r="F220">
        <f t="shared" si="18"/>
        <v>-2.0389257840025063</v>
      </c>
      <c r="H220">
        <f t="shared" si="19"/>
        <v>2.0389257840025063</v>
      </c>
    </row>
    <row r="221" spans="1:8" x14ac:dyDescent="0.25">
      <c r="A221">
        <v>2.5960000000000001</v>
      </c>
      <c r="B221">
        <v>3.1697697792146591</v>
      </c>
      <c r="C221">
        <f t="shared" si="15"/>
        <v>-0.57376977921465899</v>
      </c>
      <c r="D221">
        <f t="shared" si="16"/>
        <v>-0.40783372993318279</v>
      </c>
      <c r="E221">
        <f t="shared" si="17"/>
        <v>2.7619360492814762</v>
      </c>
      <c r="F221">
        <f t="shared" si="18"/>
        <v>-0.16593604928147609</v>
      </c>
      <c r="H221">
        <f t="shared" si="19"/>
        <v>0.16593604928147609</v>
      </c>
    </row>
    <row r="222" spans="1:8" x14ac:dyDescent="0.25">
      <c r="A222">
        <v>1.8280000000000001</v>
      </c>
      <c r="B222">
        <v>3.2010399644167533</v>
      </c>
      <c r="C222">
        <f t="shared" si="15"/>
        <v>-1.3730399644167532</v>
      </c>
      <c r="D222">
        <f t="shared" si="16"/>
        <v>-0.11544247957798938</v>
      </c>
      <c r="E222">
        <f t="shared" si="17"/>
        <v>3.0855974848387637</v>
      </c>
      <c r="F222">
        <f t="shared" si="18"/>
        <v>-1.2575974848387637</v>
      </c>
      <c r="H222">
        <f t="shared" si="19"/>
        <v>1.2575974848387637</v>
      </c>
    </row>
    <row r="223" spans="1:8" x14ac:dyDescent="0.25">
      <c r="A223">
        <v>2.3119999999999998</v>
      </c>
      <c r="B223">
        <v>3.2328078995814216</v>
      </c>
      <c r="C223">
        <f t="shared" si="15"/>
        <v>-0.92080789958142173</v>
      </c>
      <c r="D223">
        <f t="shared" si="16"/>
        <v>-0.27625564084065074</v>
      </c>
      <c r="E223">
        <f t="shared" si="17"/>
        <v>2.9565522587407709</v>
      </c>
      <c r="F223">
        <f t="shared" si="18"/>
        <v>-0.64455225874077104</v>
      </c>
      <c r="H223">
        <f t="shared" si="19"/>
        <v>0.64455225874077104</v>
      </c>
    </row>
    <row r="224" spans="1:8" x14ac:dyDescent="0.25">
      <c r="A224">
        <v>3.2080000000000002</v>
      </c>
      <c r="B224">
        <v>3.2650641711838664</v>
      </c>
      <c r="C224">
        <f t="shared" si="15"/>
        <v>-5.7064171183866197E-2</v>
      </c>
      <c r="D224">
        <f t="shared" si="16"/>
        <v>-0.18526654939578205</v>
      </c>
      <c r="E224">
        <f t="shared" si="17"/>
        <v>3.0797976217880842</v>
      </c>
      <c r="F224">
        <f t="shared" si="18"/>
        <v>0.12820237821191593</v>
      </c>
      <c r="H224">
        <f t="shared" si="19"/>
        <v>0.12820237821191593</v>
      </c>
    </row>
    <row r="225" spans="1:8" x14ac:dyDescent="0.25">
      <c r="A225">
        <v>3.6859999999999999</v>
      </c>
      <c r="B225">
        <v>3.2977992209946656</v>
      </c>
      <c r="C225">
        <f t="shared" si="15"/>
        <v>0.38820077900533434</v>
      </c>
      <c r="D225">
        <f t="shared" si="16"/>
        <v>-1.1481311242193879E-2</v>
      </c>
      <c r="E225">
        <f t="shared" si="17"/>
        <v>3.2863179097524715</v>
      </c>
      <c r="F225">
        <f t="shared" si="18"/>
        <v>0.39968209024752843</v>
      </c>
      <c r="H225">
        <f t="shared" si="19"/>
        <v>0.39968209024752843</v>
      </c>
    </row>
    <row r="226" spans="1:8" x14ac:dyDescent="0.25">
      <c r="A226">
        <v>1.274</v>
      </c>
      <c r="B226">
        <v>3.3310033489120774</v>
      </c>
      <c r="C226">
        <f t="shared" si="15"/>
        <v>-2.0570033489120774</v>
      </c>
      <c r="D226">
        <f t="shared" si="16"/>
        <v>7.8105996735873262E-2</v>
      </c>
      <c r="E226">
        <f t="shared" si="17"/>
        <v>3.4091093456479507</v>
      </c>
      <c r="F226">
        <f t="shared" si="18"/>
        <v>-2.1351093456479506</v>
      </c>
      <c r="H226">
        <f t="shared" si="19"/>
        <v>2.1351093456479506</v>
      </c>
    </row>
    <row r="227" spans="1:8" x14ac:dyDescent="0.25">
      <c r="A227">
        <v>3.48</v>
      </c>
      <c r="B227">
        <v>3.3646667158363979</v>
      </c>
      <c r="C227">
        <f t="shared" si="15"/>
        <v>0.11533328416360211</v>
      </c>
      <c r="D227">
        <f t="shared" si="16"/>
        <v>-0.41386907380110993</v>
      </c>
      <c r="E227">
        <f t="shared" si="17"/>
        <v>2.9507976420352877</v>
      </c>
      <c r="F227">
        <f t="shared" si="18"/>
        <v>0.52920235796471227</v>
      </c>
      <c r="H227">
        <f t="shared" si="19"/>
        <v>0.52920235796471227</v>
      </c>
    </row>
    <row r="228" spans="1:8" x14ac:dyDescent="0.25">
      <c r="A228">
        <v>2.5619999999999998</v>
      </c>
      <c r="B228">
        <v>3.3987793465854921</v>
      </c>
      <c r="C228">
        <f t="shared" si="15"/>
        <v>-0.83677934658549225</v>
      </c>
      <c r="D228">
        <f t="shared" si="16"/>
        <v>2.3205056773716745E-2</v>
      </c>
      <c r="E228">
        <f t="shared" si="17"/>
        <v>3.4219844033592088</v>
      </c>
      <c r="F228">
        <f t="shared" si="18"/>
        <v>-0.859984403359209</v>
      </c>
      <c r="H228">
        <f t="shared" si="19"/>
        <v>0.859984403359209</v>
      </c>
    </row>
    <row r="229" spans="1:8" x14ac:dyDescent="0.25">
      <c r="A229">
        <v>3.47</v>
      </c>
      <c r="B229">
        <v>3.4333311328506584</v>
      </c>
      <c r="C229">
        <f t="shared" si="15"/>
        <v>3.6668867149341811E-2</v>
      </c>
      <c r="D229">
        <f t="shared" si="16"/>
        <v>-0.16836000453300104</v>
      </c>
      <c r="E229">
        <f t="shared" si="17"/>
        <v>3.2649711283176575</v>
      </c>
      <c r="F229">
        <f t="shared" si="18"/>
        <v>0.20502887168234274</v>
      </c>
      <c r="H229">
        <f t="shared" si="19"/>
        <v>0.20502887168234274</v>
      </c>
    </row>
    <row r="230" spans="1:8" x14ac:dyDescent="0.25">
      <c r="A230">
        <v>4.1260000000000003</v>
      </c>
      <c r="B230">
        <v>3.4683118361919383</v>
      </c>
      <c r="C230">
        <f t="shared" si="15"/>
        <v>0.65768816380806205</v>
      </c>
      <c r="D230">
        <f t="shared" si="16"/>
        <v>7.3777760704475722E-3</v>
      </c>
      <c r="E230">
        <f t="shared" si="17"/>
        <v>3.4756896122623857</v>
      </c>
      <c r="F230">
        <f t="shared" si="18"/>
        <v>0.65031038773761463</v>
      </c>
      <c r="H230">
        <f t="shared" si="19"/>
        <v>0.65031038773761463</v>
      </c>
    </row>
    <row r="231" spans="1:8" x14ac:dyDescent="0.25">
      <c r="A231">
        <v>1.3340000000000001</v>
      </c>
      <c r="B231">
        <v>3.5037110910719855</v>
      </c>
      <c r="C231">
        <f t="shared" si="15"/>
        <v>-2.1697110910719855</v>
      </c>
      <c r="D231">
        <f t="shared" si="16"/>
        <v>0.13232685855818208</v>
      </c>
      <c r="E231">
        <f t="shared" si="17"/>
        <v>3.6360379496301678</v>
      </c>
      <c r="F231">
        <f t="shared" si="18"/>
        <v>-2.3020379496301677</v>
      </c>
      <c r="H231">
        <f t="shared" si="19"/>
        <v>2.3020379496301677</v>
      </c>
    </row>
    <row r="232" spans="1:8" x14ac:dyDescent="0.25">
      <c r="A232">
        <v>3.6539999999999999</v>
      </c>
      <c r="B232">
        <v>3.5395184079275994</v>
      </c>
      <c r="C232">
        <f t="shared" si="15"/>
        <v>0.1144815920724005</v>
      </c>
      <c r="D232">
        <f t="shared" si="16"/>
        <v>-0.43654587152368346</v>
      </c>
      <c r="E232">
        <f t="shared" si="17"/>
        <v>3.1029725364039158</v>
      </c>
      <c r="F232">
        <f t="shared" si="18"/>
        <v>0.55102746359608412</v>
      </c>
      <c r="H232">
        <f t="shared" si="19"/>
        <v>0.55102746359608412</v>
      </c>
    </row>
    <row r="233" spans="1:8" x14ac:dyDescent="0.25">
      <c r="A233">
        <v>2.3919999999999999</v>
      </c>
      <c r="B233">
        <v>3.5757231762780131</v>
      </c>
      <c r="C233">
        <f t="shared" si="15"/>
        <v>-1.1837231762780132</v>
      </c>
      <c r="D233">
        <f t="shared" si="16"/>
        <v>2.303369632496698E-2</v>
      </c>
      <c r="E233">
        <f t="shared" si="17"/>
        <v>3.5987568726029799</v>
      </c>
      <c r="F233">
        <f t="shared" si="18"/>
        <v>-1.20675687260298</v>
      </c>
      <c r="H233">
        <f t="shared" si="19"/>
        <v>1.20675687260298</v>
      </c>
    </row>
    <row r="234" spans="1:8" x14ac:dyDescent="0.25">
      <c r="A234">
        <v>4.0960000000000001</v>
      </c>
      <c r="B234">
        <v>3.6123146678689997</v>
      </c>
      <c r="C234">
        <f t="shared" si="15"/>
        <v>0.4836853321310004</v>
      </c>
      <c r="D234">
        <f t="shared" si="16"/>
        <v>-0.23816510306713623</v>
      </c>
      <c r="E234">
        <f t="shared" si="17"/>
        <v>3.3741495648018636</v>
      </c>
      <c r="F234">
        <f t="shared" si="18"/>
        <v>0.72185043519813652</v>
      </c>
      <c r="H234">
        <f t="shared" si="19"/>
        <v>0.72185043519813652</v>
      </c>
    </row>
    <row r="235" spans="1:8" x14ac:dyDescent="0.25">
      <c r="A235">
        <v>2.6440000000000001</v>
      </c>
      <c r="B235">
        <v>3.6492820398518937</v>
      </c>
      <c r="C235">
        <f t="shared" si="15"/>
        <v>-1.0052820398518936</v>
      </c>
      <c r="D235">
        <f t="shared" si="16"/>
        <v>9.731748882475727E-2</v>
      </c>
      <c r="E235">
        <f t="shared" si="17"/>
        <v>3.7465995286766511</v>
      </c>
      <c r="F235">
        <f t="shared" si="18"/>
        <v>-1.102599528676651</v>
      </c>
      <c r="H235">
        <f t="shared" si="19"/>
        <v>1.102599528676651</v>
      </c>
    </row>
    <row r="236" spans="1:8" x14ac:dyDescent="0.25">
      <c r="A236">
        <v>3.9820000000000002</v>
      </c>
      <c r="B236">
        <v>3.6866143379965512</v>
      </c>
      <c r="C236">
        <f t="shared" si="15"/>
        <v>0.29538566200344896</v>
      </c>
      <c r="D236">
        <f t="shared" si="16"/>
        <v>-0.20226274641820097</v>
      </c>
      <c r="E236">
        <f t="shared" si="17"/>
        <v>3.4843515915783501</v>
      </c>
      <c r="F236">
        <f t="shared" si="18"/>
        <v>0.49764840842165015</v>
      </c>
      <c r="H236">
        <f t="shared" si="19"/>
        <v>0.49764840842165015</v>
      </c>
    </row>
    <row r="237" spans="1:8" x14ac:dyDescent="0.25">
      <c r="A237">
        <v>2.3780000000000001</v>
      </c>
      <c r="B237">
        <v>3.7243004999373399</v>
      </c>
      <c r="C237">
        <f t="shared" si="15"/>
        <v>-1.3463004999373398</v>
      </c>
      <c r="D237">
        <f t="shared" si="16"/>
        <v>5.9431595195093924E-2</v>
      </c>
      <c r="E237">
        <f t="shared" si="17"/>
        <v>3.783732095132434</v>
      </c>
      <c r="F237">
        <f t="shared" si="18"/>
        <v>-1.4057320951324339</v>
      </c>
      <c r="H237">
        <f t="shared" si="19"/>
        <v>1.4057320951324339</v>
      </c>
    </row>
    <row r="238" spans="1:8" x14ac:dyDescent="0.25">
      <c r="A238">
        <v>3.38</v>
      </c>
      <c r="B238">
        <v>3.762329358451141</v>
      </c>
      <c r="C238">
        <f t="shared" si="15"/>
        <v>-0.38232935845114113</v>
      </c>
      <c r="D238">
        <f t="shared" si="16"/>
        <v>-0.27087566058739276</v>
      </c>
      <c r="E238">
        <f t="shared" si="17"/>
        <v>3.491453697863748</v>
      </c>
      <c r="F238">
        <f t="shared" si="18"/>
        <v>-0.11145369786374815</v>
      </c>
      <c r="H238">
        <f t="shared" si="19"/>
        <v>0.11145369786374815</v>
      </c>
    </row>
    <row r="239" spans="1:8" x14ac:dyDescent="0.25">
      <c r="A239">
        <v>4.2060000000000004</v>
      </c>
      <c r="B239">
        <v>3.800689644766444</v>
      </c>
      <c r="C239">
        <f t="shared" si="15"/>
        <v>0.40531035523355641</v>
      </c>
      <c r="D239">
        <f t="shared" si="16"/>
        <v>-7.6924666920369589E-2</v>
      </c>
      <c r="E239">
        <f t="shared" si="17"/>
        <v>3.7237649778460744</v>
      </c>
      <c r="F239">
        <f t="shared" si="18"/>
        <v>0.482235022153926</v>
      </c>
      <c r="H239">
        <f t="shared" si="19"/>
        <v>0.482235022153926</v>
      </c>
    </row>
    <row r="240" spans="1:8" x14ac:dyDescent="0.25">
      <c r="A240">
        <v>4.26</v>
      </c>
      <c r="B240">
        <v>3.8393699919025353</v>
      </c>
      <c r="C240">
        <f t="shared" si="15"/>
        <v>0.42063000809746454</v>
      </c>
      <c r="D240">
        <f t="shared" si="16"/>
        <v>8.1548443472991547E-2</v>
      </c>
      <c r="E240">
        <f t="shared" si="17"/>
        <v>3.9209184353755266</v>
      </c>
      <c r="F240">
        <f t="shared" si="18"/>
        <v>0.33908156462447314</v>
      </c>
      <c r="H240">
        <f t="shared" si="19"/>
        <v>0.33908156462447314</v>
      </c>
    </row>
    <row r="241" spans="1:8" x14ac:dyDescent="0.25">
      <c r="A241">
        <v>1.194</v>
      </c>
      <c r="B241">
        <v>3.8783589380377643</v>
      </c>
      <c r="C241">
        <f t="shared" si="15"/>
        <v>-2.6843589380377644</v>
      </c>
      <c r="D241">
        <f t="shared" si="16"/>
        <v>8.4630757629209866E-2</v>
      </c>
      <c r="E241">
        <f t="shared" si="17"/>
        <v>3.9629896956669741</v>
      </c>
      <c r="F241">
        <f t="shared" si="18"/>
        <v>-2.7689896956669742</v>
      </c>
      <c r="H241">
        <f t="shared" si="19"/>
        <v>2.7689896956669742</v>
      </c>
    </row>
    <row r="242" spans="1:8" x14ac:dyDescent="0.25">
      <c r="A242">
        <v>4.2119999999999997</v>
      </c>
      <c r="B242">
        <v>3.9176449299059448</v>
      </c>
      <c r="C242">
        <f t="shared" si="15"/>
        <v>0.29435507009405493</v>
      </c>
      <c r="D242">
        <f t="shared" si="16"/>
        <v>-0.54009301833319812</v>
      </c>
      <c r="E242">
        <f t="shared" si="17"/>
        <v>3.3775519115727466</v>
      </c>
      <c r="F242">
        <f t="shared" si="18"/>
        <v>0.83444808842725315</v>
      </c>
      <c r="H242">
        <f t="shared" si="19"/>
        <v>0.83444808842725315</v>
      </c>
    </row>
    <row r="243" spans="1:8" x14ac:dyDescent="0.25">
      <c r="A243">
        <v>3.4140000000000001</v>
      </c>
      <c r="B243">
        <v>3.9572163262198226</v>
      </c>
      <c r="C243">
        <f t="shared" si="15"/>
        <v>-0.54321632621982241</v>
      </c>
      <c r="D243">
        <f t="shared" si="16"/>
        <v>5.9224240102923847E-2</v>
      </c>
      <c r="E243">
        <f t="shared" si="17"/>
        <v>4.0164405663227463</v>
      </c>
      <c r="F243">
        <f t="shared" si="18"/>
        <v>-0.60244056632274612</v>
      </c>
      <c r="H243">
        <f t="shared" si="19"/>
        <v>0.60244056632274612</v>
      </c>
    </row>
    <row r="244" spans="1:8" x14ac:dyDescent="0.25">
      <c r="A244">
        <v>4.2060000000000004</v>
      </c>
      <c r="B244">
        <v>3.9970614011206478</v>
      </c>
      <c r="C244">
        <f t="shared" si="15"/>
        <v>0.20893859887935262</v>
      </c>
      <c r="D244">
        <f t="shared" si="16"/>
        <v>-0.10929512483542826</v>
      </c>
      <c r="E244">
        <f t="shared" si="17"/>
        <v>3.8877662762852196</v>
      </c>
      <c r="F244">
        <f t="shared" si="18"/>
        <v>0.31823372371478076</v>
      </c>
      <c r="H244">
        <f t="shared" si="19"/>
        <v>0.31823372371478076</v>
      </c>
    </row>
    <row r="245" spans="1:8" x14ac:dyDescent="0.25">
      <c r="A245">
        <v>3.1880000000000002</v>
      </c>
      <c r="B245">
        <v>4.0371683476528037</v>
      </c>
      <c r="C245">
        <f t="shared" si="15"/>
        <v>-0.84916834765280358</v>
      </c>
      <c r="D245">
        <f t="shared" si="16"/>
        <v>4.2038446094525748E-2</v>
      </c>
      <c r="E245">
        <f t="shared" si="17"/>
        <v>4.0792067937473293</v>
      </c>
      <c r="F245">
        <f t="shared" si="18"/>
        <v>-0.89120679374732914</v>
      </c>
      <c r="H245">
        <f t="shared" si="19"/>
        <v>0.89120679374732914</v>
      </c>
    </row>
    <row r="246" spans="1:8" x14ac:dyDescent="0.25">
      <c r="A246">
        <v>4.9000000000000004</v>
      </c>
      <c r="B246">
        <v>4.0775252812624503</v>
      </c>
      <c r="C246">
        <f t="shared" si="15"/>
        <v>0.82247471873755007</v>
      </c>
      <c r="D246">
        <f t="shared" si="16"/>
        <v>-0.17085267154774408</v>
      </c>
      <c r="E246">
        <f t="shared" si="17"/>
        <v>3.9066726097147062</v>
      </c>
      <c r="F246">
        <f t="shared" si="18"/>
        <v>0.99332739028529415</v>
      </c>
      <c r="H246">
        <f t="shared" si="19"/>
        <v>0.99332739028529415</v>
      </c>
    </row>
    <row r="247" spans="1:8" x14ac:dyDescent="0.25">
      <c r="A247">
        <v>3.7280000000000002</v>
      </c>
      <c r="B247">
        <v>4.1181202433191899</v>
      </c>
      <c r="C247">
        <f t="shared" si="15"/>
        <v>-0.39012024331918971</v>
      </c>
      <c r="D247">
        <f t="shared" si="16"/>
        <v>0.16548191340999507</v>
      </c>
      <c r="E247">
        <f t="shared" si="17"/>
        <v>4.2836021567291853</v>
      </c>
      <c r="F247">
        <f t="shared" si="18"/>
        <v>-0.55560215672918511</v>
      </c>
      <c r="H247">
        <f t="shared" si="19"/>
        <v>0.55560215672918511</v>
      </c>
    </row>
    <row r="248" spans="1:8" x14ac:dyDescent="0.25">
      <c r="A248">
        <v>4.798</v>
      </c>
      <c r="B248">
        <v>4.1589412046596506</v>
      </c>
      <c r="C248">
        <f t="shared" si="15"/>
        <v>0.63905879534034948</v>
      </c>
      <c r="D248">
        <f t="shared" si="16"/>
        <v>-7.8492192955820966E-2</v>
      </c>
      <c r="E248">
        <f t="shared" si="17"/>
        <v>4.0804490117038297</v>
      </c>
      <c r="F248">
        <f t="shared" si="18"/>
        <v>0.71755098829617037</v>
      </c>
      <c r="H248">
        <f t="shared" si="19"/>
        <v>0.71755098829617037</v>
      </c>
    </row>
    <row r="249" spans="1:8" x14ac:dyDescent="0.25">
      <c r="A249">
        <v>3.3319999999999999</v>
      </c>
      <c r="B249">
        <v>4.1999760691519974</v>
      </c>
      <c r="C249">
        <f t="shared" si="15"/>
        <v>-0.86797606915199754</v>
      </c>
      <c r="D249">
        <f t="shared" si="16"/>
        <v>0.12857862962247832</v>
      </c>
      <c r="E249">
        <f t="shared" si="17"/>
        <v>4.3285546987744761</v>
      </c>
      <c r="F249">
        <f t="shared" si="18"/>
        <v>-0.99655469877447622</v>
      </c>
      <c r="H249">
        <f t="shared" si="19"/>
        <v>0.99655469877447622</v>
      </c>
    </row>
    <row r="250" spans="1:8" x14ac:dyDescent="0.25">
      <c r="A250">
        <v>3.8460000000000001</v>
      </c>
      <c r="B250">
        <v>4.2412126772802798</v>
      </c>
      <c r="C250">
        <f t="shared" si="15"/>
        <v>-0.39521267728027976</v>
      </c>
      <c r="D250">
        <f t="shared" si="16"/>
        <v>-0.1746367851133819</v>
      </c>
      <c r="E250">
        <f t="shared" si="17"/>
        <v>4.066575892166898</v>
      </c>
      <c r="F250">
        <f t="shared" si="18"/>
        <v>-0.22057589216689788</v>
      </c>
      <c r="H250">
        <f t="shared" si="19"/>
        <v>0.22057589216689788</v>
      </c>
    </row>
    <row r="251" spans="1:8" x14ac:dyDescent="0.25">
      <c r="A251">
        <v>1.3120000000000001</v>
      </c>
      <c r="B251">
        <v>4.2826388097475467</v>
      </c>
      <c r="C251">
        <f t="shared" si="15"/>
        <v>-2.9706388097475465</v>
      </c>
      <c r="D251">
        <f t="shared" si="16"/>
        <v>-7.9516790668792289E-2</v>
      </c>
      <c r="E251">
        <f t="shared" si="17"/>
        <v>4.2031220190787542</v>
      </c>
      <c r="F251">
        <f t="shared" si="18"/>
        <v>-2.8911220190787539</v>
      </c>
      <c r="H251">
        <f t="shared" si="19"/>
        <v>2.8911220190787539</v>
      </c>
    </row>
    <row r="252" spans="1:8" x14ac:dyDescent="0.25">
      <c r="A252">
        <v>3.649</v>
      </c>
      <c r="B252">
        <v>4.3242421910967037</v>
      </c>
      <c r="C252">
        <f t="shared" si="15"/>
        <v>-0.67524219109670369</v>
      </c>
      <c r="D252">
        <f t="shared" si="16"/>
        <v>-0.59769252852120636</v>
      </c>
      <c r="E252">
        <f t="shared" si="17"/>
        <v>3.7265496625754975</v>
      </c>
      <c r="F252">
        <f t="shared" si="18"/>
        <v>-7.7549662575497447E-2</v>
      </c>
      <c r="H252">
        <f t="shared" si="19"/>
        <v>7.7549662575497447E-2</v>
      </c>
    </row>
    <row r="253" spans="1:8" x14ac:dyDescent="0.25">
      <c r="A253">
        <v>3.2080000000000002</v>
      </c>
      <c r="B253">
        <v>4.3660104933479804</v>
      </c>
      <c r="C253">
        <f t="shared" si="15"/>
        <v>-1.1580104933479802</v>
      </c>
      <c r="D253">
        <f t="shared" si="16"/>
        <v>-0.13585872884865677</v>
      </c>
      <c r="E253">
        <f t="shared" si="17"/>
        <v>4.2301517644993236</v>
      </c>
      <c r="F253">
        <f t="shared" si="18"/>
        <v>-1.0221517644993234</v>
      </c>
      <c r="H253">
        <f t="shared" si="19"/>
        <v>1.0221517644993234</v>
      </c>
    </row>
    <row r="254" spans="1:8" x14ac:dyDescent="0.25">
      <c r="A254">
        <v>5.28</v>
      </c>
      <c r="B254">
        <v>4.4079313396519826</v>
      </c>
      <c r="C254">
        <f t="shared" si="15"/>
        <v>0.87206866034801767</v>
      </c>
      <c r="D254">
        <f t="shared" si="16"/>
        <v>-0.23299171126161361</v>
      </c>
      <c r="E254">
        <f t="shared" si="17"/>
        <v>4.1749396283903693</v>
      </c>
      <c r="F254">
        <f t="shared" si="18"/>
        <v>1.105060371609631</v>
      </c>
      <c r="H254">
        <f t="shared" si="19"/>
        <v>1.105060371609631</v>
      </c>
    </row>
    <row r="255" spans="1:8" x14ac:dyDescent="0.25">
      <c r="A255">
        <v>5.258</v>
      </c>
      <c r="B255">
        <v>4.4499923079572303</v>
      </c>
      <c r="C255">
        <f t="shared" si="15"/>
        <v>0.80800769204276968</v>
      </c>
      <c r="D255">
        <f t="shared" si="16"/>
        <v>0.17546021446202115</v>
      </c>
      <c r="E255">
        <f t="shared" si="17"/>
        <v>4.6254525224192511</v>
      </c>
      <c r="F255">
        <f t="shared" si="18"/>
        <v>0.63254747758074892</v>
      </c>
      <c r="H255">
        <f t="shared" si="19"/>
        <v>0.63254747758074892</v>
      </c>
    </row>
    <row r="256" spans="1:8" x14ac:dyDescent="0.25">
      <c r="A256">
        <v>4.0650000000000004</v>
      </c>
      <c r="B256">
        <v>4.4921809346910591</v>
      </c>
      <c r="C256">
        <f t="shared" si="15"/>
        <v>-0.42718093469105867</v>
      </c>
      <c r="D256">
        <f t="shared" si="16"/>
        <v>0.16257114763900526</v>
      </c>
      <c r="E256">
        <f t="shared" si="17"/>
        <v>4.6547520823300648</v>
      </c>
      <c r="F256">
        <f t="shared" si="18"/>
        <v>-0.58975208233006438</v>
      </c>
      <c r="H256">
        <f t="shared" si="19"/>
        <v>0.58975208233006438</v>
      </c>
    </row>
    <row r="257" spans="1:8" x14ac:dyDescent="0.25">
      <c r="A257">
        <v>4.7409999999999997</v>
      </c>
      <c r="B257">
        <v>4.5344847184528669</v>
      </c>
      <c r="C257">
        <f t="shared" si="15"/>
        <v>0.20651528154713272</v>
      </c>
      <c r="D257">
        <f t="shared" si="16"/>
        <v>-8.5948804059840997E-2</v>
      </c>
      <c r="E257">
        <f t="shared" si="17"/>
        <v>4.4485359143930259</v>
      </c>
      <c r="F257">
        <f t="shared" si="18"/>
        <v>0.29246408560697379</v>
      </c>
      <c r="H257">
        <f t="shared" si="19"/>
        <v>0.29246408560697379</v>
      </c>
    </row>
    <row r="258" spans="1:8" x14ac:dyDescent="0.25">
      <c r="A258">
        <v>4.8010000000000002</v>
      </c>
      <c r="B258">
        <v>4.5768911237185339</v>
      </c>
      <c r="C258">
        <f t="shared" si="15"/>
        <v>0.22410887628146625</v>
      </c>
      <c r="D258">
        <f t="shared" si="16"/>
        <v>4.1550874647283104E-2</v>
      </c>
      <c r="E258">
        <f t="shared" si="17"/>
        <v>4.6184419983658174</v>
      </c>
      <c r="F258">
        <f t="shared" si="18"/>
        <v>0.18255800163418279</v>
      </c>
      <c r="H258">
        <f t="shared" si="19"/>
        <v>0.18255800163418279</v>
      </c>
    </row>
    <row r="259" spans="1:8" x14ac:dyDescent="0.25">
      <c r="A259">
        <v>4.1619999999999999</v>
      </c>
      <c r="B259">
        <v>4.6193875845549712</v>
      </c>
      <c r="C259">
        <f t="shared" ref="C259:C322" si="20">A259-B259</f>
        <v>-0.4573875845549713</v>
      </c>
      <c r="D259">
        <f t="shared" si="16"/>
        <v>4.5090705907831007E-2</v>
      </c>
      <c r="E259">
        <f t="shared" si="17"/>
        <v>4.6644782904628022</v>
      </c>
      <c r="F259">
        <f t="shared" si="18"/>
        <v>-0.50247829046280224</v>
      </c>
      <c r="H259">
        <f t="shared" si="19"/>
        <v>0.50247829046280224</v>
      </c>
    </row>
    <row r="260" spans="1:8" x14ac:dyDescent="0.25">
      <c r="A260">
        <v>5.3810000000000002</v>
      </c>
      <c r="B260">
        <v>4.6619615083436887</v>
      </c>
      <c r="C260">
        <f t="shared" si="20"/>
        <v>0.71903849165631151</v>
      </c>
      <c r="D260">
        <f t="shared" ref="D260:D323" si="21">$J$1*C259</f>
        <v>-9.2026382012460217E-2</v>
      </c>
      <c r="E260">
        <f t="shared" ref="E260:E323" si="22">B260+D260</f>
        <v>4.5699351263312282</v>
      </c>
      <c r="F260">
        <f t="shared" ref="F260:F323" si="23">A260-E260</f>
        <v>0.811064873668772</v>
      </c>
      <c r="H260">
        <f t="shared" ref="H260:H323" si="24">ABS(F260)</f>
        <v>0.811064873668772</v>
      </c>
    </row>
    <row r="261" spans="1:8" x14ac:dyDescent="0.25">
      <c r="A261">
        <v>5.5890000000000004</v>
      </c>
      <c r="B261">
        <v>4.7046002795122437</v>
      </c>
      <c r="C261">
        <f t="shared" si="20"/>
        <v>0.88439972048775672</v>
      </c>
      <c r="D261">
        <f t="shared" si="21"/>
        <v>0.14467054452124986</v>
      </c>
      <c r="E261">
        <f t="shared" si="22"/>
        <v>4.8492708240334936</v>
      </c>
      <c r="F261">
        <f t="shared" si="23"/>
        <v>0.73972917596650678</v>
      </c>
      <c r="H261">
        <f t="shared" si="24"/>
        <v>0.73972917596650678</v>
      </c>
    </row>
    <row r="262" spans="1:8" x14ac:dyDescent="0.25">
      <c r="A262">
        <v>5.649</v>
      </c>
      <c r="B262">
        <v>4.7472912632725226</v>
      </c>
      <c r="C262">
        <f t="shared" si="20"/>
        <v>0.90170873672747742</v>
      </c>
      <c r="D262">
        <f t="shared" si="21"/>
        <v>0.17794122376213664</v>
      </c>
      <c r="E262">
        <f t="shared" si="22"/>
        <v>4.9252324870346591</v>
      </c>
      <c r="F262">
        <f t="shared" si="23"/>
        <v>0.72376751296534092</v>
      </c>
      <c r="H262">
        <f t="shared" si="24"/>
        <v>0.72376751296534092</v>
      </c>
    </row>
    <row r="263" spans="1:8" x14ac:dyDescent="0.25">
      <c r="A263">
        <v>2.9289999999999998</v>
      </c>
      <c r="B263">
        <v>4.7900218093646885</v>
      </c>
      <c r="C263">
        <f t="shared" si="20"/>
        <v>-1.8610218093646886</v>
      </c>
      <c r="D263">
        <f t="shared" si="21"/>
        <v>0.18142379782956844</v>
      </c>
      <c r="E263">
        <f t="shared" si="22"/>
        <v>4.9714456071942568</v>
      </c>
      <c r="F263">
        <f t="shared" si="23"/>
        <v>-2.0424456071942569</v>
      </c>
      <c r="H263">
        <f t="shared" si="24"/>
        <v>2.0424456071942569</v>
      </c>
    </row>
    <row r="264" spans="1:8" x14ac:dyDescent="0.25">
      <c r="A264">
        <v>4.907</v>
      </c>
      <c r="B264">
        <v>4.8327792558057308</v>
      </c>
      <c r="C264">
        <f t="shared" si="20"/>
        <v>7.4220744194269272E-2</v>
      </c>
      <c r="D264">
        <f t="shared" si="21"/>
        <v>-0.37443758804417532</v>
      </c>
      <c r="E264">
        <f t="shared" si="22"/>
        <v>4.4583416677615553</v>
      </c>
      <c r="F264">
        <f t="shared" si="23"/>
        <v>0.44865833223844476</v>
      </c>
      <c r="H264">
        <f t="shared" si="24"/>
        <v>0.44865833223844476</v>
      </c>
    </row>
    <row r="265" spans="1:8" x14ac:dyDescent="0.25">
      <c r="A265">
        <v>5.0780000000000003</v>
      </c>
      <c r="B265">
        <v>4.8755509326414925</v>
      </c>
      <c r="C265">
        <f t="shared" si="20"/>
        <v>0.20244906735850776</v>
      </c>
      <c r="D265">
        <f t="shared" si="21"/>
        <v>1.4933213731886977E-2</v>
      </c>
      <c r="E265">
        <f t="shared" si="22"/>
        <v>4.8904841463733799</v>
      </c>
      <c r="F265">
        <f t="shared" si="23"/>
        <v>0.18751585362662038</v>
      </c>
      <c r="H265">
        <f t="shared" si="24"/>
        <v>0.18751585362662038</v>
      </c>
    </row>
    <row r="266" spans="1:8" x14ac:dyDescent="0.25">
      <c r="A266">
        <v>5.6719999999999997</v>
      </c>
      <c r="B266">
        <v>4.9183241657010344</v>
      </c>
      <c r="C266">
        <f t="shared" si="20"/>
        <v>0.75367583429896534</v>
      </c>
      <c r="D266">
        <f t="shared" si="21"/>
        <v>4.0732752352531758E-2</v>
      </c>
      <c r="E266">
        <f t="shared" si="22"/>
        <v>4.959056918053566</v>
      </c>
      <c r="F266">
        <f t="shared" si="23"/>
        <v>0.71294308194643374</v>
      </c>
      <c r="H266">
        <f t="shared" si="24"/>
        <v>0.71294308194643374</v>
      </c>
    </row>
    <row r="267" spans="1:8" x14ac:dyDescent="0.25">
      <c r="A267">
        <v>1.9610000000000001</v>
      </c>
      <c r="B267">
        <v>4.9610862803522835</v>
      </c>
      <c r="C267">
        <f t="shared" si="20"/>
        <v>-3.0000862803522832</v>
      </c>
      <c r="D267">
        <f t="shared" si="21"/>
        <v>0.15163957786095181</v>
      </c>
      <c r="E267">
        <f t="shared" si="22"/>
        <v>5.1127258582132349</v>
      </c>
      <c r="F267">
        <f t="shared" si="23"/>
        <v>-3.1517258582132346</v>
      </c>
      <c r="H267">
        <f t="shared" si="24"/>
        <v>3.1517258582132346</v>
      </c>
    </row>
    <row r="268" spans="1:8" x14ac:dyDescent="0.25">
      <c r="A268">
        <v>4.6150000000000002</v>
      </c>
      <c r="B268">
        <v>5.0038246052577851</v>
      </c>
      <c r="C268">
        <f t="shared" si="20"/>
        <v>-0.38882460525778484</v>
      </c>
      <c r="D268">
        <f t="shared" si="21"/>
        <v>-0.60361735960687934</v>
      </c>
      <c r="E268">
        <f t="shared" si="22"/>
        <v>4.4002072456509058</v>
      </c>
      <c r="F268">
        <f t="shared" si="23"/>
        <v>0.21479275434909439</v>
      </c>
      <c r="H268">
        <f t="shared" si="24"/>
        <v>0.21479275434909439</v>
      </c>
    </row>
    <row r="269" spans="1:8" x14ac:dyDescent="0.25">
      <c r="A269">
        <v>5.1719999999999997</v>
      </c>
      <c r="B269">
        <v>5.0465264761294977</v>
      </c>
      <c r="C269">
        <f t="shared" si="20"/>
        <v>0.12547352387050204</v>
      </c>
      <c r="D269">
        <f t="shared" si="21"/>
        <v>-7.8231510577866301E-2</v>
      </c>
      <c r="E269">
        <f t="shared" si="22"/>
        <v>4.9682949655516317</v>
      </c>
      <c r="F269">
        <f t="shared" si="23"/>
        <v>0.20370503444836796</v>
      </c>
      <c r="H269">
        <f t="shared" si="24"/>
        <v>0.20370503444836796</v>
      </c>
    </row>
    <row r="270" spans="1:8" x14ac:dyDescent="0.25">
      <c r="A270">
        <v>3.64</v>
      </c>
      <c r="B270">
        <v>5.0891792394815045</v>
      </c>
      <c r="C270">
        <f t="shared" si="20"/>
        <v>-1.4491792394815044</v>
      </c>
      <c r="D270">
        <f t="shared" si="21"/>
        <v>2.5245273002745008E-2</v>
      </c>
      <c r="E270">
        <f t="shared" si="22"/>
        <v>5.1144245124842493</v>
      </c>
      <c r="F270">
        <f t="shared" si="23"/>
        <v>-1.4744245124842492</v>
      </c>
      <c r="H270">
        <f t="shared" si="24"/>
        <v>1.4744245124842492</v>
      </c>
    </row>
    <row r="271" spans="1:8" x14ac:dyDescent="0.25">
      <c r="A271">
        <v>4.7110000000000003</v>
      </c>
      <c r="B271">
        <v>5.1317702563794985</v>
      </c>
      <c r="C271">
        <f t="shared" si="20"/>
        <v>-0.42077025637949816</v>
      </c>
      <c r="D271">
        <f t="shared" si="21"/>
        <v>-0.29157486298367868</v>
      </c>
      <c r="E271">
        <f t="shared" si="22"/>
        <v>4.8401953933958195</v>
      </c>
      <c r="F271">
        <f t="shared" si="23"/>
        <v>-0.1291953933958192</v>
      </c>
      <c r="H271">
        <f t="shared" si="24"/>
        <v>0.1291953933958192</v>
      </c>
    </row>
    <row r="272" spans="1:8" x14ac:dyDescent="0.25">
      <c r="A272">
        <v>4.7140000000000004</v>
      </c>
      <c r="B272">
        <v>5.174286906185988</v>
      </c>
      <c r="C272">
        <f t="shared" si="20"/>
        <v>-0.46028690618598755</v>
      </c>
      <c r="D272">
        <f t="shared" si="21"/>
        <v>-8.4658975583555021E-2</v>
      </c>
      <c r="E272">
        <f t="shared" si="22"/>
        <v>5.0896279306024326</v>
      </c>
      <c r="F272">
        <f t="shared" si="23"/>
        <v>-0.37562793060243216</v>
      </c>
      <c r="H272">
        <f t="shared" si="24"/>
        <v>0.37562793060243216</v>
      </c>
    </row>
    <row r="273" spans="1:8" x14ac:dyDescent="0.25">
      <c r="A273">
        <v>5.3840000000000003</v>
      </c>
      <c r="B273">
        <v>5.2167165903000479</v>
      </c>
      <c r="C273">
        <f t="shared" si="20"/>
        <v>0.16728340969995248</v>
      </c>
      <c r="D273">
        <f t="shared" si="21"/>
        <v>-9.2609725524620698E-2</v>
      </c>
      <c r="E273">
        <f t="shared" si="22"/>
        <v>5.1241068647754275</v>
      </c>
      <c r="F273">
        <f t="shared" si="23"/>
        <v>0.2598931352245728</v>
      </c>
      <c r="H273">
        <f t="shared" si="24"/>
        <v>0.2598931352245728</v>
      </c>
    </row>
    <row r="274" spans="1:8" x14ac:dyDescent="0.25">
      <c r="A274">
        <v>4.5279999999999996</v>
      </c>
      <c r="B274">
        <v>5.2590467358905659</v>
      </c>
      <c r="C274">
        <f t="shared" si="20"/>
        <v>-0.73104673589056635</v>
      </c>
      <c r="D274">
        <f t="shared" si="21"/>
        <v>3.3657422031630434E-2</v>
      </c>
      <c r="E274">
        <f t="shared" si="22"/>
        <v>5.2927041579221967</v>
      </c>
      <c r="F274">
        <f t="shared" si="23"/>
        <v>-0.76470415792219715</v>
      </c>
      <c r="H274">
        <f t="shared" si="24"/>
        <v>0.76470415792219715</v>
      </c>
    </row>
    <row r="275" spans="1:8" x14ac:dyDescent="0.25">
      <c r="A275">
        <v>4.2359999999999998</v>
      </c>
      <c r="B275">
        <v>5.3012647996218494</v>
      </c>
      <c r="C275">
        <f t="shared" si="20"/>
        <v>-1.0652647996218496</v>
      </c>
      <c r="D275">
        <f t="shared" si="21"/>
        <v>-0.14708660326118195</v>
      </c>
      <c r="E275">
        <f t="shared" si="22"/>
        <v>5.1541781963606672</v>
      </c>
      <c r="F275">
        <f t="shared" si="23"/>
        <v>-0.91817819636066744</v>
      </c>
      <c r="H275">
        <f t="shared" si="24"/>
        <v>0.91817819636066744</v>
      </c>
    </row>
    <row r="276" spans="1:8" x14ac:dyDescent="0.25">
      <c r="A276">
        <v>3.7349999999999999</v>
      </c>
      <c r="B276">
        <v>5.3433582713704686</v>
      </c>
      <c r="C276">
        <f t="shared" si="20"/>
        <v>-1.6083582713704687</v>
      </c>
      <c r="D276">
        <f t="shared" si="21"/>
        <v>-0.21433127768391613</v>
      </c>
      <c r="E276">
        <f t="shared" si="22"/>
        <v>5.1290269936865522</v>
      </c>
      <c r="F276">
        <f t="shared" si="23"/>
        <v>-1.3940269936865524</v>
      </c>
      <c r="H276">
        <f t="shared" si="24"/>
        <v>1.3940269936865524</v>
      </c>
    </row>
    <row r="277" spans="1:8" x14ac:dyDescent="0.25">
      <c r="A277">
        <v>4.25</v>
      </c>
      <c r="B277">
        <v>5.3853146779322971</v>
      </c>
      <c r="C277">
        <f t="shared" si="20"/>
        <v>-1.1353146779322971</v>
      </c>
      <c r="D277">
        <f t="shared" si="21"/>
        <v>-0.32360168419973828</v>
      </c>
      <c r="E277">
        <f t="shared" si="22"/>
        <v>5.0617129937325585</v>
      </c>
      <c r="F277">
        <f t="shared" si="23"/>
        <v>-0.81171299373255845</v>
      </c>
      <c r="H277">
        <f t="shared" si="24"/>
        <v>0.81171299373255845</v>
      </c>
    </row>
    <row r="278" spans="1:8" x14ac:dyDescent="0.25">
      <c r="A278">
        <v>6.0869999999999997</v>
      </c>
      <c r="B278">
        <v>5.4271215867185765</v>
      </c>
      <c r="C278">
        <f t="shared" si="20"/>
        <v>0.65987841328142327</v>
      </c>
      <c r="D278">
        <f t="shared" si="21"/>
        <v>-0.22842531319997816</v>
      </c>
      <c r="E278">
        <f t="shared" si="22"/>
        <v>5.198696273518598</v>
      </c>
      <c r="F278">
        <f t="shared" si="23"/>
        <v>0.88830372648140177</v>
      </c>
      <c r="H278">
        <f t="shared" si="24"/>
        <v>0.88830372648140177</v>
      </c>
    </row>
    <row r="279" spans="1:8" x14ac:dyDescent="0.25">
      <c r="A279">
        <v>4.3410000000000002</v>
      </c>
      <c r="B279">
        <v>5.4687666094399638</v>
      </c>
      <c r="C279">
        <f t="shared" si="20"/>
        <v>-1.1277666094399637</v>
      </c>
      <c r="D279">
        <f t="shared" si="21"/>
        <v>0.13276753675222236</v>
      </c>
      <c r="E279">
        <f t="shared" si="22"/>
        <v>5.6015341461921864</v>
      </c>
      <c r="F279">
        <f t="shared" si="23"/>
        <v>-1.2605341461921862</v>
      </c>
      <c r="H279">
        <f t="shared" si="24"/>
        <v>1.2605341461921862</v>
      </c>
    </row>
    <row r="280" spans="1:8" x14ac:dyDescent="0.25">
      <c r="A280">
        <v>2.2919999999999998</v>
      </c>
      <c r="B280">
        <v>5.5102374057774561</v>
      </c>
      <c r="C280">
        <f t="shared" si="20"/>
        <v>-3.2182374057774563</v>
      </c>
      <c r="D280">
        <f t="shared" si="21"/>
        <v>-0.22690664181932069</v>
      </c>
      <c r="E280">
        <f t="shared" si="22"/>
        <v>5.2833307639581353</v>
      </c>
      <c r="F280">
        <f t="shared" si="23"/>
        <v>-2.9913307639581355</v>
      </c>
      <c r="H280">
        <f t="shared" si="24"/>
        <v>2.9913307639581355</v>
      </c>
    </row>
    <row r="281" spans="1:8" x14ac:dyDescent="0.25">
      <c r="A281">
        <v>3.4380000000000002</v>
      </c>
      <c r="B281">
        <v>5.5515216870390836</v>
      </c>
      <c r="C281">
        <f t="shared" si="20"/>
        <v>-2.1135216870390834</v>
      </c>
      <c r="D281">
        <f t="shared" si="21"/>
        <v>-0.64750936604242415</v>
      </c>
      <c r="E281">
        <f t="shared" si="22"/>
        <v>4.9040123209966593</v>
      </c>
      <c r="F281">
        <f t="shared" si="23"/>
        <v>-1.4660123209966591</v>
      </c>
      <c r="H281">
        <f t="shared" si="24"/>
        <v>1.4660123209966591</v>
      </c>
    </row>
    <row r="282" spans="1:8" x14ac:dyDescent="0.25">
      <c r="A282">
        <v>5.4930000000000003</v>
      </c>
      <c r="B282">
        <v>5.5926072198013239</v>
      </c>
      <c r="C282">
        <f t="shared" si="20"/>
        <v>-9.9607219801323588E-2</v>
      </c>
      <c r="D282">
        <f t="shared" si="21"/>
        <v>-0.42524056343226357</v>
      </c>
      <c r="E282">
        <f t="shared" si="22"/>
        <v>5.1673666563690599</v>
      </c>
      <c r="F282">
        <f t="shared" si="23"/>
        <v>0.32563334363094043</v>
      </c>
      <c r="H282">
        <f t="shared" si="24"/>
        <v>0.32563334363094043</v>
      </c>
    </row>
    <row r="283" spans="1:8" x14ac:dyDescent="0.25">
      <c r="A283">
        <v>4.8179999999999996</v>
      </c>
      <c r="B283">
        <v>5.6334818295341185</v>
      </c>
      <c r="C283">
        <f t="shared" si="20"/>
        <v>-0.81548182953411885</v>
      </c>
      <c r="D283">
        <f t="shared" si="21"/>
        <v>-2.0040972624026304E-2</v>
      </c>
      <c r="E283">
        <f t="shared" si="22"/>
        <v>5.613440856910092</v>
      </c>
      <c r="F283">
        <f t="shared" si="23"/>
        <v>-0.79544085691009236</v>
      </c>
      <c r="H283">
        <f t="shared" si="24"/>
        <v>0.79544085691009236</v>
      </c>
    </row>
    <row r="284" spans="1:8" x14ac:dyDescent="0.25">
      <c r="A284">
        <v>6.2610000000000001</v>
      </c>
      <c r="B284">
        <v>5.6741334042084564</v>
      </c>
      <c r="C284">
        <f t="shared" si="20"/>
        <v>0.58686659579154377</v>
      </c>
      <c r="D284">
        <f t="shared" si="21"/>
        <v>-0.1640749441022647</v>
      </c>
      <c r="E284">
        <f t="shared" si="22"/>
        <v>5.5100584601061913</v>
      </c>
      <c r="F284">
        <f t="shared" si="23"/>
        <v>0.75094153989380885</v>
      </c>
      <c r="H284">
        <f t="shared" si="24"/>
        <v>0.75094153989380885</v>
      </c>
    </row>
    <row r="285" spans="1:8" x14ac:dyDescent="0.25">
      <c r="A285">
        <v>6.3949999999999996</v>
      </c>
      <c r="B285">
        <v>5.7145498978854317</v>
      </c>
      <c r="C285">
        <f t="shared" si="20"/>
        <v>0.68045010211456791</v>
      </c>
      <c r="D285">
        <f t="shared" si="21"/>
        <v>0.11807755907325861</v>
      </c>
      <c r="E285">
        <f t="shared" si="22"/>
        <v>5.83262745695869</v>
      </c>
      <c r="F285">
        <f t="shared" si="23"/>
        <v>0.56237254304130957</v>
      </c>
      <c r="H285">
        <f t="shared" si="24"/>
        <v>0.56237254304130957</v>
      </c>
    </row>
    <row r="286" spans="1:8" x14ac:dyDescent="0.25">
      <c r="A286">
        <v>6.141</v>
      </c>
      <c r="B286">
        <v>5.7547193342857046</v>
      </c>
      <c r="C286">
        <f t="shared" si="20"/>
        <v>0.38628066571429542</v>
      </c>
      <c r="D286">
        <f t="shared" si="21"/>
        <v>0.13690656054545106</v>
      </c>
      <c r="E286">
        <f t="shared" si="22"/>
        <v>5.8916258948311553</v>
      </c>
      <c r="F286">
        <f t="shared" si="23"/>
        <v>0.24937410516884473</v>
      </c>
      <c r="H286">
        <f t="shared" si="24"/>
        <v>0.24937410516884473</v>
      </c>
    </row>
    <row r="287" spans="1:8" x14ac:dyDescent="0.25">
      <c r="A287">
        <v>5.8250000000000002</v>
      </c>
      <c r="B287">
        <v>5.794629810338348</v>
      </c>
      <c r="C287">
        <f t="shared" si="20"/>
        <v>3.0370189661652169E-2</v>
      </c>
      <c r="D287">
        <f t="shared" si="21"/>
        <v>7.7719669941716238E-2</v>
      </c>
      <c r="E287">
        <f t="shared" si="22"/>
        <v>5.8723494802800644</v>
      </c>
      <c r="F287">
        <f t="shared" si="23"/>
        <v>-4.7349480280064249E-2</v>
      </c>
      <c r="H287">
        <f t="shared" si="24"/>
        <v>4.7349480280064249E-2</v>
      </c>
    </row>
    <row r="288" spans="1:8" x14ac:dyDescent="0.25">
      <c r="A288">
        <v>6.8259999999999996</v>
      </c>
      <c r="B288">
        <v>5.8342694997079647</v>
      </c>
      <c r="C288">
        <f t="shared" si="20"/>
        <v>0.99173050029203491</v>
      </c>
      <c r="D288">
        <f t="shared" si="21"/>
        <v>6.1104821599244161E-3</v>
      </c>
      <c r="E288">
        <f t="shared" si="22"/>
        <v>5.8403799818678888</v>
      </c>
      <c r="F288">
        <f t="shared" si="23"/>
        <v>0.98562001813211086</v>
      </c>
      <c r="H288">
        <f t="shared" si="24"/>
        <v>0.98562001813211086</v>
      </c>
    </row>
    <row r="289" spans="1:8" x14ac:dyDescent="0.25">
      <c r="A289">
        <v>6.8609999999999998</v>
      </c>
      <c r="B289">
        <v>5.8736266562990984</v>
      </c>
      <c r="C289">
        <f t="shared" si="20"/>
        <v>0.98737334370090135</v>
      </c>
      <c r="D289">
        <f t="shared" si="21"/>
        <v>0.19953617665875742</v>
      </c>
      <c r="E289">
        <f t="shared" si="22"/>
        <v>6.0731628329578555</v>
      </c>
      <c r="F289">
        <f t="shared" si="23"/>
        <v>0.78783716704214424</v>
      </c>
      <c r="H289">
        <f t="shared" si="24"/>
        <v>0.78783716704214424</v>
      </c>
    </row>
    <row r="290" spans="1:8" x14ac:dyDescent="0.25">
      <c r="A290">
        <v>6.819</v>
      </c>
      <c r="B290">
        <v>5.9126896177368593</v>
      </c>
      <c r="C290">
        <f t="shared" si="20"/>
        <v>0.90631038226314065</v>
      </c>
      <c r="D290">
        <f t="shared" si="21"/>
        <v>0.19865951675262133</v>
      </c>
      <c r="E290">
        <f t="shared" si="22"/>
        <v>6.1113491344894806</v>
      </c>
      <c r="F290">
        <f t="shared" si="23"/>
        <v>0.70765086551051937</v>
      </c>
      <c r="H290">
        <f t="shared" si="24"/>
        <v>0.70765086551051937</v>
      </c>
    </row>
    <row r="291" spans="1:8" x14ac:dyDescent="0.25">
      <c r="A291">
        <v>6.7759999999999998</v>
      </c>
      <c r="B291">
        <v>5.9514468088227197</v>
      </c>
      <c r="C291">
        <f t="shared" si="20"/>
        <v>0.8245531911772801</v>
      </c>
      <c r="D291">
        <f t="shared" si="21"/>
        <v>0.18234964891134389</v>
      </c>
      <c r="E291">
        <f t="shared" si="22"/>
        <v>6.1337964577340633</v>
      </c>
      <c r="F291">
        <f t="shared" si="23"/>
        <v>0.64220354226593646</v>
      </c>
      <c r="H291">
        <f t="shared" si="24"/>
        <v>0.64220354226593646</v>
      </c>
    </row>
    <row r="292" spans="1:8" x14ac:dyDescent="0.25">
      <c r="A292">
        <v>5.12</v>
      </c>
      <c r="B292">
        <v>5.9898867449645179</v>
      </c>
      <c r="C292">
        <f t="shared" si="20"/>
        <v>-0.86988674496451779</v>
      </c>
      <c r="D292">
        <f t="shared" si="21"/>
        <v>0.16590010206486874</v>
      </c>
      <c r="E292">
        <f t="shared" si="22"/>
        <v>6.1557868470293871</v>
      </c>
      <c r="F292">
        <f t="shared" si="23"/>
        <v>-1.0357868470293869</v>
      </c>
      <c r="H292">
        <f t="shared" si="24"/>
        <v>1.0357868470293869</v>
      </c>
    </row>
    <row r="293" spans="1:8" x14ac:dyDescent="0.25">
      <c r="A293">
        <v>6.7240000000000002</v>
      </c>
      <c r="B293">
        <v>6.0279980355795715</v>
      </c>
      <c r="C293">
        <f t="shared" si="20"/>
        <v>0.69600196442042872</v>
      </c>
      <c r="D293">
        <f t="shared" si="21"/>
        <v>-0.17502121308686097</v>
      </c>
      <c r="E293">
        <f t="shared" si="22"/>
        <v>5.8529768224927103</v>
      </c>
      <c r="F293">
        <f t="shared" si="23"/>
        <v>0.87102317750728986</v>
      </c>
      <c r="H293">
        <f t="shared" si="24"/>
        <v>0.87102317750728986</v>
      </c>
    </row>
    <row r="294" spans="1:8" x14ac:dyDescent="0.25">
      <c r="A294">
        <v>7.0650000000000004</v>
      </c>
      <c r="B294">
        <v>6.0657693874699579</v>
      </c>
      <c r="C294">
        <f t="shared" si="20"/>
        <v>0.99923061253004253</v>
      </c>
      <c r="D294">
        <f t="shared" si="21"/>
        <v>0.14003559524139025</v>
      </c>
      <c r="E294">
        <f t="shared" si="22"/>
        <v>6.2058049827113484</v>
      </c>
      <c r="F294">
        <f t="shared" si="23"/>
        <v>0.859195017288652</v>
      </c>
      <c r="H294">
        <f t="shared" si="24"/>
        <v>0.859195017288652</v>
      </c>
    </row>
    <row r="295" spans="1:8" x14ac:dyDescent="0.25">
      <c r="A295">
        <v>6.6619999999999999</v>
      </c>
      <c r="B295">
        <v>6.1031896081689467</v>
      </c>
      <c r="C295">
        <f t="shared" si="20"/>
        <v>0.55881039183105319</v>
      </c>
      <c r="D295">
        <f t="shared" si="21"/>
        <v>0.20104519924104455</v>
      </c>
      <c r="E295">
        <f t="shared" si="22"/>
        <v>6.3042348074099914</v>
      </c>
      <c r="F295">
        <f t="shared" si="23"/>
        <v>0.3577651925900085</v>
      </c>
      <c r="H295">
        <f t="shared" si="24"/>
        <v>0.3577651925900085</v>
      </c>
    </row>
    <row r="296" spans="1:8" x14ac:dyDescent="0.25">
      <c r="A296">
        <v>6.6289999999999996</v>
      </c>
      <c r="B296">
        <v>6.1402476092575435</v>
      </c>
      <c r="C296">
        <f t="shared" si="20"/>
        <v>0.48875239074245602</v>
      </c>
      <c r="D296">
        <f t="shared" si="21"/>
        <v>0.1124326508364079</v>
      </c>
      <c r="E296">
        <f t="shared" si="22"/>
        <v>6.2526802600939515</v>
      </c>
      <c r="F296">
        <f t="shared" si="23"/>
        <v>0.37631973990604806</v>
      </c>
      <c r="H296">
        <f t="shared" si="24"/>
        <v>0.37631973990604806</v>
      </c>
    </row>
    <row r="297" spans="1:8" x14ac:dyDescent="0.25">
      <c r="A297">
        <v>5.4429999999999996</v>
      </c>
      <c r="B297">
        <v>6.176932409650254</v>
      </c>
      <c r="C297">
        <f t="shared" si="20"/>
        <v>-0.73393240965025441</v>
      </c>
      <c r="D297">
        <f t="shared" si="21"/>
        <v>9.8336981017382141E-2</v>
      </c>
      <c r="E297">
        <f t="shared" si="22"/>
        <v>6.2752693906676358</v>
      </c>
      <c r="F297">
        <f t="shared" si="23"/>
        <v>-0.83226939066763617</v>
      </c>
      <c r="H297">
        <f t="shared" si="24"/>
        <v>0.83226939066763617</v>
      </c>
    </row>
    <row r="298" spans="1:8" x14ac:dyDescent="0.25">
      <c r="A298">
        <v>5.6269999999999998</v>
      </c>
      <c r="B298">
        <v>6.2132331388489961</v>
      </c>
      <c r="C298">
        <f t="shared" si="20"/>
        <v>-0.5862331388489963</v>
      </c>
      <c r="D298">
        <f t="shared" si="21"/>
        <v>-0.14766720082163118</v>
      </c>
      <c r="E298">
        <f t="shared" si="22"/>
        <v>6.0655659380273645</v>
      </c>
      <c r="F298">
        <f t="shared" si="23"/>
        <v>-0.43856593802736477</v>
      </c>
      <c r="H298">
        <f t="shared" si="24"/>
        <v>0.43856593802736477</v>
      </c>
    </row>
    <row r="299" spans="1:8" x14ac:dyDescent="0.25">
      <c r="A299">
        <v>1.857</v>
      </c>
      <c r="B299">
        <v>6.2491390401642732</v>
      </c>
      <c r="C299">
        <f t="shared" si="20"/>
        <v>-4.392139040164273</v>
      </c>
      <c r="D299">
        <f t="shared" si="21"/>
        <v>-0.11795010753641805</v>
      </c>
      <c r="E299">
        <f t="shared" si="22"/>
        <v>6.1311889326278548</v>
      </c>
      <c r="F299">
        <f t="shared" si="23"/>
        <v>-4.2741889326278546</v>
      </c>
      <c r="H299">
        <f t="shared" si="24"/>
        <v>4.2741889326278546</v>
      </c>
    </row>
    <row r="300" spans="1:8" x14ac:dyDescent="0.25">
      <c r="A300">
        <v>5.1180000000000003</v>
      </c>
      <c r="B300">
        <v>6.284639473902617</v>
      </c>
      <c r="C300">
        <f t="shared" si="20"/>
        <v>-1.1666394739026167</v>
      </c>
      <c r="D300">
        <f t="shared" si="21"/>
        <v>-0.88369837488105174</v>
      </c>
      <c r="E300">
        <f t="shared" si="22"/>
        <v>5.4009410990215656</v>
      </c>
      <c r="F300">
        <f t="shared" si="23"/>
        <v>-0.28294109902156528</v>
      </c>
      <c r="H300">
        <f t="shared" si="24"/>
        <v>0.28294109902156528</v>
      </c>
    </row>
    <row r="301" spans="1:8" x14ac:dyDescent="0.25">
      <c r="A301">
        <v>6.7750000000000004</v>
      </c>
      <c r="B301">
        <v>6.3197239205193441</v>
      </c>
      <c r="C301">
        <f t="shared" si="20"/>
        <v>0.45527607948065629</v>
      </c>
      <c r="D301">
        <f t="shared" si="21"/>
        <v>-0.23472786214920646</v>
      </c>
      <c r="E301">
        <f t="shared" si="22"/>
        <v>6.0849960583701375</v>
      </c>
      <c r="F301">
        <f t="shared" si="23"/>
        <v>0.69000394162986289</v>
      </c>
      <c r="H301">
        <f t="shared" si="24"/>
        <v>0.69000394162986289</v>
      </c>
    </row>
    <row r="302" spans="1:8" x14ac:dyDescent="0.25">
      <c r="A302">
        <v>6.3979999999999997</v>
      </c>
      <c r="B302">
        <v>6.3543819837357409</v>
      </c>
      <c r="C302">
        <f t="shared" si="20"/>
        <v>4.3618016264258763E-2</v>
      </c>
      <c r="D302">
        <f t="shared" si="21"/>
        <v>9.1601547191508037E-2</v>
      </c>
      <c r="E302">
        <f t="shared" si="22"/>
        <v>6.4459835309272489</v>
      </c>
      <c r="F302">
        <f t="shared" si="23"/>
        <v>-4.7983530927249163E-2</v>
      </c>
      <c r="H302">
        <f t="shared" si="24"/>
        <v>4.7983530927249163E-2</v>
      </c>
    </row>
    <row r="303" spans="1:8" x14ac:dyDescent="0.25">
      <c r="A303">
        <v>7.2450000000000001</v>
      </c>
      <c r="B303">
        <v>6.3886033936196931</v>
      </c>
      <c r="C303">
        <f t="shared" si="20"/>
        <v>0.85639660638030701</v>
      </c>
      <c r="D303">
        <f t="shared" si="21"/>
        <v>8.775944872368862E-3</v>
      </c>
      <c r="E303">
        <f t="shared" si="22"/>
        <v>6.3973793384920619</v>
      </c>
      <c r="F303">
        <f t="shared" si="23"/>
        <v>0.84762066150793824</v>
      </c>
      <c r="H303">
        <f t="shared" si="24"/>
        <v>0.84762066150793824</v>
      </c>
    </row>
    <row r="304" spans="1:8" x14ac:dyDescent="0.25">
      <c r="A304">
        <v>6.4989999999999997</v>
      </c>
      <c r="B304">
        <v>6.4223780096288916</v>
      </c>
      <c r="C304">
        <f t="shared" si="20"/>
        <v>7.6621990371108062E-2</v>
      </c>
      <c r="D304">
        <f t="shared" si="21"/>
        <v>0.17230699720371775</v>
      </c>
      <c r="E304">
        <f t="shared" si="22"/>
        <v>6.5946850068326093</v>
      </c>
      <c r="F304">
        <f t="shared" si="23"/>
        <v>-9.5685006832609609E-2</v>
      </c>
      <c r="H304">
        <f t="shared" si="24"/>
        <v>9.5685006832609609E-2</v>
      </c>
    </row>
    <row r="305" spans="1:8" x14ac:dyDescent="0.25">
      <c r="A305">
        <v>4.0640000000000001</v>
      </c>
      <c r="B305">
        <v>6.4556958236157014</v>
      </c>
      <c r="C305">
        <f t="shared" si="20"/>
        <v>-2.3916958236157013</v>
      </c>
      <c r="D305">
        <f t="shared" si="21"/>
        <v>1.5416344462666941E-2</v>
      </c>
      <c r="E305">
        <f t="shared" si="22"/>
        <v>6.4711121680783688</v>
      </c>
      <c r="F305">
        <f t="shared" si="23"/>
        <v>-2.4071121680783687</v>
      </c>
      <c r="H305">
        <f t="shared" si="24"/>
        <v>2.4071121680783687</v>
      </c>
    </row>
    <row r="306" spans="1:8" x14ac:dyDescent="0.25">
      <c r="A306">
        <v>1.917</v>
      </c>
      <c r="B306">
        <v>6.4885469627927757</v>
      </c>
      <c r="C306">
        <f t="shared" si="20"/>
        <v>-4.5715469627927758</v>
      </c>
      <c r="D306">
        <f t="shared" si="21"/>
        <v>-0.48120919971147907</v>
      </c>
      <c r="E306">
        <f t="shared" si="22"/>
        <v>6.0073377630812965</v>
      </c>
      <c r="F306">
        <f t="shared" si="23"/>
        <v>-4.0903377630812967</v>
      </c>
      <c r="H306">
        <f t="shared" si="24"/>
        <v>4.0903377630812967</v>
      </c>
    </row>
    <row r="307" spans="1:8" x14ac:dyDescent="0.25">
      <c r="A307">
        <v>6.6210000000000004</v>
      </c>
      <c r="B307">
        <v>6.5209216926585949</v>
      </c>
      <c r="C307">
        <f t="shared" si="20"/>
        <v>0.10007830734140555</v>
      </c>
      <c r="D307">
        <f t="shared" si="21"/>
        <v>-0.9197952489139064</v>
      </c>
      <c r="E307">
        <f t="shared" si="22"/>
        <v>5.6011264437446888</v>
      </c>
      <c r="F307">
        <f t="shared" si="23"/>
        <v>1.0198735562553116</v>
      </c>
      <c r="H307">
        <f t="shared" si="24"/>
        <v>1.0198735562553116</v>
      </c>
    </row>
    <row r="308" spans="1:8" x14ac:dyDescent="0.25">
      <c r="A308">
        <v>5.8220000000000001</v>
      </c>
      <c r="B308">
        <v>6.5528104198819941</v>
      </c>
      <c r="C308">
        <f t="shared" si="20"/>
        <v>-0.73081041988199402</v>
      </c>
      <c r="D308">
        <f t="shared" si="21"/>
        <v>2.0135755437090796E-2</v>
      </c>
      <c r="E308">
        <f t="shared" si="22"/>
        <v>6.5729461753190845</v>
      </c>
      <c r="F308">
        <f t="shared" si="23"/>
        <v>-0.75094617531908447</v>
      </c>
      <c r="H308">
        <f t="shared" si="24"/>
        <v>0.75094617531908447</v>
      </c>
    </row>
    <row r="309" spans="1:8" x14ac:dyDescent="0.25">
      <c r="A309">
        <v>6.9109999999999996</v>
      </c>
      <c r="B309">
        <v>6.5842036951448808</v>
      </c>
      <c r="C309">
        <f t="shared" si="20"/>
        <v>0.32679630485511879</v>
      </c>
      <c r="D309">
        <f t="shared" si="21"/>
        <v>-0.1470390564802572</v>
      </c>
      <c r="E309">
        <f t="shared" si="22"/>
        <v>6.4371646386646235</v>
      </c>
      <c r="F309">
        <f t="shared" si="23"/>
        <v>0.47383536133537607</v>
      </c>
      <c r="H309">
        <f t="shared" si="24"/>
        <v>0.47383536133537607</v>
      </c>
    </row>
    <row r="310" spans="1:8" x14ac:dyDescent="0.25">
      <c r="A310">
        <v>1.9490000000000001</v>
      </c>
      <c r="B310">
        <v>6.6150922159422745</v>
      </c>
      <c r="C310">
        <f t="shared" si="20"/>
        <v>-4.6660922159422746</v>
      </c>
      <c r="D310">
        <f t="shared" si="21"/>
        <v>6.5751416536849891E-2</v>
      </c>
      <c r="E310">
        <f t="shared" si="22"/>
        <v>6.6808436324791245</v>
      </c>
      <c r="F310">
        <f t="shared" si="23"/>
        <v>-4.7318436324791247</v>
      </c>
      <c r="H310">
        <f t="shared" si="24"/>
        <v>4.7318436324791247</v>
      </c>
    </row>
    <row r="311" spans="1:8" x14ac:dyDescent="0.25">
      <c r="A311">
        <v>4.2210000000000001</v>
      </c>
      <c r="B311">
        <v>6.6454668293388313</v>
      </c>
      <c r="C311">
        <f t="shared" si="20"/>
        <v>-2.4244668293388312</v>
      </c>
      <c r="D311">
        <f t="shared" si="21"/>
        <v>-0.93881775384758559</v>
      </c>
      <c r="E311">
        <f t="shared" si="22"/>
        <v>5.7066490754912458</v>
      </c>
      <c r="F311">
        <f t="shared" si="23"/>
        <v>-1.4856490754912457</v>
      </c>
      <c r="H311">
        <f t="shared" si="24"/>
        <v>1.4856490754912457</v>
      </c>
    </row>
    <row r="312" spans="1:8" x14ac:dyDescent="0.25">
      <c r="A312">
        <v>6.6829999999999998</v>
      </c>
      <c r="B312">
        <v>6.6753185346810673</v>
      </c>
      <c r="C312">
        <f t="shared" si="20"/>
        <v>7.6814653189325455E-3</v>
      </c>
      <c r="D312">
        <f t="shared" si="21"/>
        <v>-0.48780272606297281</v>
      </c>
      <c r="E312">
        <f t="shared" si="22"/>
        <v>6.1875158086180946</v>
      </c>
      <c r="F312">
        <f t="shared" si="23"/>
        <v>0.49548419138190525</v>
      </c>
      <c r="H312">
        <f t="shared" si="24"/>
        <v>0.49548419138190525</v>
      </c>
    </row>
    <row r="313" spans="1:8" x14ac:dyDescent="0.25">
      <c r="A313">
        <v>5.95</v>
      </c>
      <c r="B313">
        <v>6.704638486264435</v>
      </c>
      <c r="C313">
        <f t="shared" si="20"/>
        <v>-0.75463848626443486</v>
      </c>
      <c r="D313">
        <f t="shared" si="21"/>
        <v>1.545510822169228E-3</v>
      </c>
      <c r="E313">
        <f t="shared" si="22"/>
        <v>6.7061839970866046</v>
      </c>
      <c r="F313">
        <f t="shared" si="23"/>
        <v>-0.75618399708660444</v>
      </c>
      <c r="H313">
        <f t="shared" si="24"/>
        <v>0.75618399708660444</v>
      </c>
    </row>
    <row r="314" spans="1:8" x14ac:dyDescent="0.25">
      <c r="A314">
        <v>7.5890000000000004</v>
      </c>
      <c r="B314">
        <v>6.7334179959545031</v>
      </c>
      <c r="C314">
        <f t="shared" si="20"/>
        <v>0.85558200404549734</v>
      </c>
      <c r="D314">
        <f t="shared" si="21"/>
        <v>-0.1518332634364043</v>
      </c>
      <c r="E314">
        <f t="shared" si="22"/>
        <v>6.5815847325180989</v>
      </c>
      <c r="F314">
        <f t="shared" si="23"/>
        <v>1.0074152674819015</v>
      </c>
      <c r="H314">
        <f t="shared" si="24"/>
        <v>1.0074152674819015</v>
      </c>
    </row>
    <row r="315" spans="1:8" x14ac:dyDescent="0.25">
      <c r="A315">
        <v>5.4390000000000001</v>
      </c>
      <c r="B315">
        <v>6.7616485357614406</v>
      </c>
      <c r="C315">
        <f t="shared" si="20"/>
        <v>-1.3226485357614406</v>
      </c>
      <c r="D315">
        <f t="shared" si="21"/>
        <v>0.17214309921395404</v>
      </c>
      <c r="E315">
        <f t="shared" si="22"/>
        <v>6.9337916349753943</v>
      </c>
      <c r="F315">
        <f t="shared" si="23"/>
        <v>-1.4947916349753942</v>
      </c>
      <c r="H315">
        <f t="shared" si="24"/>
        <v>1.4947916349753942</v>
      </c>
    </row>
    <row r="316" spans="1:8" x14ac:dyDescent="0.25">
      <c r="A316">
        <v>6.9429999999999996</v>
      </c>
      <c r="B316">
        <v>6.7893217403670345</v>
      </c>
      <c r="C316">
        <f t="shared" si="20"/>
        <v>0.15367825963296511</v>
      </c>
      <c r="D316">
        <f t="shared" si="21"/>
        <v>-0.26611688539520184</v>
      </c>
      <c r="E316">
        <f t="shared" si="22"/>
        <v>6.5232048549718327</v>
      </c>
      <c r="F316">
        <f t="shared" si="23"/>
        <v>0.41979514502816695</v>
      </c>
      <c r="H316">
        <f t="shared" si="24"/>
        <v>0.41979514502816695</v>
      </c>
    </row>
    <row r="317" spans="1:8" x14ac:dyDescent="0.25">
      <c r="A317">
        <v>7.1790000000000003</v>
      </c>
      <c r="B317">
        <v>6.8164294096035256</v>
      </c>
      <c r="C317">
        <f t="shared" si="20"/>
        <v>0.36257059039647466</v>
      </c>
      <c r="D317">
        <f t="shared" si="21"/>
        <v>3.0920065838152579E-2</v>
      </c>
      <c r="E317">
        <f t="shared" si="22"/>
        <v>6.8473494754416784</v>
      </c>
      <c r="F317">
        <f t="shared" si="23"/>
        <v>0.33165052455832189</v>
      </c>
      <c r="H317">
        <f t="shared" si="24"/>
        <v>0.33165052455832189</v>
      </c>
    </row>
    <row r="318" spans="1:8" x14ac:dyDescent="0.25">
      <c r="A318">
        <v>4.5010000000000003</v>
      </c>
      <c r="B318">
        <v>6.8429635108834876</v>
      </c>
      <c r="C318">
        <f t="shared" si="20"/>
        <v>-2.3419635108834873</v>
      </c>
      <c r="D318">
        <f t="shared" si="21"/>
        <v>7.2949202787770701E-2</v>
      </c>
      <c r="E318">
        <f t="shared" si="22"/>
        <v>6.9159127136712586</v>
      </c>
      <c r="F318">
        <f t="shared" si="23"/>
        <v>-2.4149127136712583</v>
      </c>
      <c r="H318">
        <f t="shared" si="24"/>
        <v>2.4149127136712583</v>
      </c>
    </row>
    <row r="319" spans="1:8" x14ac:dyDescent="0.25">
      <c r="A319">
        <v>7.5090000000000003</v>
      </c>
      <c r="B319">
        <v>6.8689161815800572</v>
      </c>
      <c r="C319">
        <f t="shared" si="20"/>
        <v>0.64008381841994311</v>
      </c>
      <c r="D319">
        <f t="shared" si="21"/>
        <v>-0.47120305838975762</v>
      </c>
      <c r="E319">
        <f t="shared" si="22"/>
        <v>6.3977131231902993</v>
      </c>
      <c r="F319">
        <f t="shared" si="23"/>
        <v>1.1112868768097011</v>
      </c>
      <c r="H319">
        <f t="shared" si="24"/>
        <v>1.1112868768097011</v>
      </c>
    </row>
    <row r="320" spans="1:8" x14ac:dyDescent="0.25">
      <c r="A320">
        <v>7.8209999999999997</v>
      </c>
      <c r="B320">
        <v>6.8942797313568036</v>
      </c>
      <c r="C320">
        <f t="shared" si="20"/>
        <v>0.92672026864319612</v>
      </c>
      <c r="D320">
        <f t="shared" si="21"/>
        <v>0.12878486426609254</v>
      </c>
      <c r="E320">
        <f t="shared" si="22"/>
        <v>7.0230645956228965</v>
      </c>
      <c r="F320">
        <f t="shared" si="23"/>
        <v>0.7979354043771032</v>
      </c>
      <c r="H320">
        <f t="shared" si="24"/>
        <v>0.7979354043771032</v>
      </c>
    </row>
    <row r="321" spans="1:8" x14ac:dyDescent="0.25">
      <c r="A321">
        <v>7.8789999999999996</v>
      </c>
      <c r="B321">
        <v>6.9190466444465368</v>
      </c>
      <c r="C321">
        <f t="shared" si="20"/>
        <v>0.95995335555346273</v>
      </c>
      <c r="D321">
        <f t="shared" si="21"/>
        <v>0.18645611805101106</v>
      </c>
      <c r="E321">
        <f t="shared" si="22"/>
        <v>7.1055027624975482</v>
      </c>
      <c r="F321">
        <f t="shared" si="23"/>
        <v>0.77349723750245136</v>
      </c>
      <c r="H321">
        <f t="shared" si="24"/>
        <v>0.77349723750245136</v>
      </c>
    </row>
    <row r="322" spans="1:8" x14ac:dyDescent="0.25">
      <c r="A322">
        <v>7.6509999999999998</v>
      </c>
      <c r="B322">
        <v>6.9432095818783957</v>
      </c>
      <c r="C322">
        <f t="shared" si="20"/>
        <v>0.70779041812160415</v>
      </c>
      <c r="D322">
        <f t="shared" si="21"/>
        <v>0.1931426151373567</v>
      </c>
      <c r="E322">
        <f t="shared" si="22"/>
        <v>7.1363521970157526</v>
      </c>
      <c r="F322">
        <f t="shared" si="23"/>
        <v>0.51464780298424717</v>
      </c>
      <c r="H322">
        <f t="shared" si="24"/>
        <v>0.51464780298424717</v>
      </c>
    </row>
    <row r="323" spans="1:8" x14ac:dyDescent="0.25">
      <c r="A323">
        <v>6.7539999999999996</v>
      </c>
      <c r="B323">
        <v>6.9667613836525408</v>
      </c>
      <c r="C323">
        <f t="shared" ref="C323:C366" si="25">A323-B323</f>
        <v>-0.21276138365254127</v>
      </c>
      <c r="D323">
        <f t="shared" si="21"/>
        <v>0.14240743212606674</v>
      </c>
      <c r="E323">
        <f t="shared" si="22"/>
        <v>7.1091688157786077</v>
      </c>
      <c r="F323">
        <f t="shared" si="23"/>
        <v>-0.35516881577860815</v>
      </c>
      <c r="H323">
        <f t="shared" si="24"/>
        <v>0.35516881577860815</v>
      </c>
    </row>
    <row r="324" spans="1:8" x14ac:dyDescent="0.25">
      <c r="A324">
        <v>6.3259999999999996</v>
      </c>
      <c r="B324">
        <v>6.9896950708618135</v>
      </c>
      <c r="C324">
        <f t="shared" si="25"/>
        <v>-0.6636950708618139</v>
      </c>
      <c r="D324">
        <f t="shared" ref="D324:D366" si="26">$J$1*C323</f>
        <v>-4.2807590390891298E-2</v>
      </c>
      <c r="E324">
        <f t="shared" ref="E324:E366" si="27">B324+D324</f>
        <v>6.946887480470922</v>
      </c>
      <c r="F324">
        <f t="shared" ref="F324:F366" si="28">A324-E324</f>
        <v>-0.62088748047092235</v>
      </c>
      <c r="H324">
        <f t="shared" ref="H324:H366" si="29">ABS(F324)</f>
        <v>0.62088748047092235</v>
      </c>
    </row>
    <row r="325" spans="1:8" x14ac:dyDescent="0.25">
      <c r="A325">
        <v>7.5519999999999996</v>
      </c>
      <c r="B325">
        <v>7.0120038477597486</v>
      </c>
      <c r="C325">
        <f t="shared" si="25"/>
        <v>0.53999615224025099</v>
      </c>
      <c r="D325">
        <f t="shared" si="26"/>
        <v>-0.13353544825739694</v>
      </c>
      <c r="E325">
        <f t="shared" si="27"/>
        <v>6.8784683995023519</v>
      </c>
      <c r="F325">
        <f t="shared" si="28"/>
        <v>0.67353160049764771</v>
      </c>
      <c r="H325">
        <f t="shared" si="29"/>
        <v>0.67353160049764771</v>
      </c>
    </row>
    <row r="326" spans="1:8" x14ac:dyDescent="0.25">
      <c r="A326">
        <v>7.1440000000000001</v>
      </c>
      <c r="B326">
        <v>7.0336811037742857</v>
      </c>
      <c r="C326">
        <f t="shared" si="25"/>
        <v>0.11031889622571445</v>
      </c>
      <c r="D326">
        <f t="shared" si="26"/>
        <v>0.10864722583073849</v>
      </c>
      <c r="E326">
        <f t="shared" si="27"/>
        <v>7.1423283296050242</v>
      </c>
      <c r="F326">
        <f t="shared" si="28"/>
        <v>1.6716703949759548E-3</v>
      </c>
      <c r="H326">
        <f t="shared" si="29"/>
        <v>1.6716703949759548E-3</v>
      </c>
    </row>
    <row r="327" spans="1:8" x14ac:dyDescent="0.25">
      <c r="A327">
        <v>5.0519999999999996</v>
      </c>
      <c r="B327">
        <v>7.054720415466635</v>
      </c>
      <c r="C327">
        <f t="shared" si="25"/>
        <v>-2.0027204154666354</v>
      </c>
      <c r="D327">
        <f t="shared" si="26"/>
        <v>2.2196161920613744E-2</v>
      </c>
      <c r="E327">
        <f t="shared" si="27"/>
        <v>7.0769165773872489</v>
      </c>
      <c r="F327">
        <f t="shared" si="28"/>
        <v>-2.0249165773872493</v>
      </c>
      <c r="H327">
        <f t="shared" si="29"/>
        <v>2.0249165773872493</v>
      </c>
    </row>
    <row r="328" spans="1:8" x14ac:dyDescent="0.25">
      <c r="A328">
        <v>5.8570000000000002</v>
      </c>
      <c r="B328">
        <v>7.0751155484346757</v>
      </c>
      <c r="C328">
        <f t="shared" si="25"/>
        <v>-1.2181155484346755</v>
      </c>
      <c r="D328">
        <f t="shared" si="26"/>
        <v>-0.402947347591887</v>
      </c>
      <c r="E328">
        <f t="shared" si="27"/>
        <v>6.6721682008427887</v>
      </c>
      <c r="F328">
        <f t="shared" si="28"/>
        <v>-0.81516820084278852</v>
      </c>
      <c r="H328">
        <f t="shared" si="29"/>
        <v>0.81516820084278852</v>
      </c>
    </row>
    <row r="329" spans="1:8" x14ac:dyDescent="0.25">
      <c r="A329">
        <v>4.0460000000000003</v>
      </c>
      <c r="B329">
        <v>7.0948604591603468</v>
      </c>
      <c r="C329">
        <f t="shared" si="25"/>
        <v>-3.0488604591603465</v>
      </c>
      <c r="D329">
        <f t="shared" si="26"/>
        <v>-0.2450848483450567</v>
      </c>
      <c r="E329">
        <f t="shared" si="27"/>
        <v>6.8497756108152901</v>
      </c>
      <c r="F329">
        <f t="shared" si="28"/>
        <v>-2.8037756108152898</v>
      </c>
      <c r="H329">
        <f t="shared" si="29"/>
        <v>2.8037756108152898</v>
      </c>
    </row>
    <row r="330" spans="1:8" x14ac:dyDescent="0.25">
      <c r="A330">
        <v>6.3410000000000002</v>
      </c>
      <c r="B330">
        <v>7.1139492968004712</v>
      </c>
      <c r="C330">
        <f t="shared" si="25"/>
        <v>-0.77294929680047098</v>
      </c>
      <c r="D330">
        <f t="shared" si="26"/>
        <v>-0.61343072438306168</v>
      </c>
      <c r="E330">
        <f t="shared" si="27"/>
        <v>6.500518572417409</v>
      </c>
      <c r="F330">
        <f t="shared" si="28"/>
        <v>-0.15951857241740885</v>
      </c>
      <c r="H330">
        <f t="shared" si="29"/>
        <v>0.15951857241740885</v>
      </c>
    </row>
    <row r="331" spans="1:8" x14ac:dyDescent="0.25">
      <c r="A331">
        <v>6.78</v>
      </c>
      <c r="B331">
        <v>7.1323764049204854</v>
      </c>
      <c r="C331">
        <f t="shared" si="25"/>
        <v>-0.35237640492048516</v>
      </c>
      <c r="D331">
        <f t="shared" si="26"/>
        <v>-0.15551739851625476</v>
      </c>
      <c r="E331">
        <f t="shared" si="27"/>
        <v>6.9768590064042311</v>
      </c>
      <c r="F331">
        <f t="shared" si="28"/>
        <v>-0.19685900640423082</v>
      </c>
      <c r="H331">
        <f t="shared" si="29"/>
        <v>0.19685900640423082</v>
      </c>
    </row>
    <row r="332" spans="1:8" x14ac:dyDescent="0.25">
      <c r="A332">
        <v>7.3250000000000002</v>
      </c>
      <c r="B332">
        <v>7.1501363231705604</v>
      </c>
      <c r="C332">
        <f t="shared" si="25"/>
        <v>0.17486367682943982</v>
      </c>
      <c r="D332">
        <f t="shared" si="26"/>
        <v>-7.0898132670001612E-2</v>
      </c>
      <c r="E332">
        <f t="shared" si="27"/>
        <v>7.0792381905005586</v>
      </c>
      <c r="F332">
        <f t="shared" si="28"/>
        <v>0.2457618094994416</v>
      </c>
      <c r="H332">
        <f t="shared" si="29"/>
        <v>0.2457618094994416</v>
      </c>
    </row>
    <row r="333" spans="1:8" x14ac:dyDescent="0.25">
      <c r="A333">
        <v>7.4809999999999999</v>
      </c>
      <c r="B333">
        <v>7.167223788903633</v>
      </c>
      <c r="C333">
        <f t="shared" si="25"/>
        <v>0.31377621109636689</v>
      </c>
      <c r="D333">
        <f t="shared" si="26"/>
        <v>3.5182571778083288E-2</v>
      </c>
      <c r="E333">
        <f t="shared" si="27"/>
        <v>7.2024063606817164</v>
      </c>
      <c r="F333">
        <f t="shared" si="28"/>
        <v>0.27859363931828351</v>
      </c>
      <c r="H333">
        <f t="shared" si="29"/>
        <v>0.27859363931828351</v>
      </c>
    </row>
    <row r="334" spans="1:8" x14ac:dyDescent="0.25">
      <c r="A334">
        <v>7.52</v>
      </c>
      <c r="B334">
        <v>7.1836337387348257</v>
      </c>
      <c r="C334">
        <f t="shared" si="25"/>
        <v>0.33636626126517388</v>
      </c>
      <c r="D334">
        <f t="shared" si="26"/>
        <v>6.3131773672589014E-2</v>
      </c>
      <c r="E334">
        <f t="shared" si="27"/>
        <v>7.2467655124074151</v>
      </c>
      <c r="F334">
        <f t="shared" si="28"/>
        <v>0.27323448759258451</v>
      </c>
      <c r="H334">
        <f t="shared" si="29"/>
        <v>0.27323448759258451</v>
      </c>
    </row>
    <row r="335" spans="1:8" x14ac:dyDescent="0.25">
      <c r="A335">
        <v>7.5309999999999997</v>
      </c>
      <c r="B335">
        <v>7.1993613100418496</v>
      </c>
      <c r="C335">
        <f t="shared" si="25"/>
        <v>0.33163868995815005</v>
      </c>
      <c r="D335">
        <f t="shared" si="26"/>
        <v>6.7676891766552977E-2</v>
      </c>
      <c r="E335">
        <f t="shared" si="27"/>
        <v>7.2670382018084023</v>
      </c>
      <c r="F335">
        <f t="shared" si="28"/>
        <v>0.26396179819159737</v>
      </c>
      <c r="H335">
        <f t="shared" si="29"/>
        <v>0.26396179819159737</v>
      </c>
    </row>
    <row r="336" spans="1:8" x14ac:dyDescent="0.25">
      <c r="A336">
        <v>7.1139999999999999</v>
      </c>
      <c r="B336">
        <v>7.2144018424058958</v>
      </c>
      <c r="C336">
        <f t="shared" si="25"/>
        <v>-0.10040184240589589</v>
      </c>
      <c r="D336">
        <f t="shared" si="26"/>
        <v>6.6725704419579784E-2</v>
      </c>
      <c r="E336">
        <f t="shared" si="27"/>
        <v>7.2811275468254752</v>
      </c>
      <c r="F336">
        <f t="shared" si="28"/>
        <v>-0.16712754682547537</v>
      </c>
      <c r="H336">
        <f t="shared" si="29"/>
        <v>0.16712754682547537</v>
      </c>
    </row>
    <row r="337" spans="1:8" x14ac:dyDescent="0.25">
      <c r="A337">
        <v>2.113</v>
      </c>
      <c r="B337">
        <v>7.2287508789926243</v>
      </c>
      <c r="C337">
        <f t="shared" si="25"/>
        <v>-5.1157508789926247</v>
      </c>
      <c r="D337">
        <f t="shared" si="26"/>
        <v>-2.0200850692066251E-2</v>
      </c>
      <c r="E337">
        <f t="shared" si="27"/>
        <v>7.2085500283005581</v>
      </c>
      <c r="F337">
        <f t="shared" si="28"/>
        <v>-5.0955500283005577</v>
      </c>
      <c r="H337">
        <f t="shared" si="29"/>
        <v>5.0955500283005577</v>
      </c>
    </row>
    <row r="338" spans="1:8" x14ac:dyDescent="0.25">
      <c r="A338">
        <v>5.9550000000000001</v>
      </c>
      <c r="B338">
        <v>7.2424041678728184</v>
      </c>
      <c r="C338">
        <f t="shared" si="25"/>
        <v>-1.2874041678728183</v>
      </c>
      <c r="D338">
        <f t="shared" si="26"/>
        <v>-1.0292890768533161</v>
      </c>
      <c r="E338">
        <f t="shared" si="27"/>
        <v>6.2131150910195023</v>
      </c>
      <c r="F338">
        <f t="shared" si="28"/>
        <v>-0.25811509101950225</v>
      </c>
      <c r="H338">
        <f t="shared" si="29"/>
        <v>0.25811509101950225</v>
      </c>
    </row>
    <row r="339" spans="1:8" x14ac:dyDescent="0.25">
      <c r="A339">
        <v>5.1520000000000001</v>
      </c>
      <c r="B339">
        <v>7.255357663282318</v>
      </c>
      <c r="C339">
        <f t="shared" si="25"/>
        <v>-2.1033576632823179</v>
      </c>
      <c r="D339">
        <f t="shared" si="26"/>
        <v>-0.25902571857601103</v>
      </c>
      <c r="E339">
        <f t="shared" si="27"/>
        <v>6.9963319447063066</v>
      </c>
      <c r="F339">
        <f t="shared" si="28"/>
        <v>-1.8443319447063065</v>
      </c>
      <c r="H339">
        <f t="shared" si="29"/>
        <v>1.8443319447063065</v>
      </c>
    </row>
    <row r="340" spans="1:8" x14ac:dyDescent="0.25">
      <c r="A340">
        <v>7.0140000000000002</v>
      </c>
      <c r="B340">
        <v>7.2676075268208766</v>
      </c>
      <c r="C340">
        <f t="shared" si="25"/>
        <v>-0.25360752682087639</v>
      </c>
      <c r="D340">
        <f t="shared" si="26"/>
        <v>-0.42319556185240231</v>
      </c>
      <c r="E340">
        <f t="shared" si="27"/>
        <v>6.844411964968474</v>
      </c>
      <c r="F340">
        <f t="shared" si="28"/>
        <v>0.1695880350315262</v>
      </c>
      <c r="H340">
        <f t="shared" si="29"/>
        <v>0.1695880350315262</v>
      </c>
    </row>
    <row r="341" spans="1:8" x14ac:dyDescent="0.25">
      <c r="A341">
        <v>8.2870000000000008</v>
      </c>
      <c r="B341">
        <v>7.2791501285895528</v>
      </c>
      <c r="C341">
        <f t="shared" si="25"/>
        <v>1.007849871410448</v>
      </c>
      <c r="D341">
        <f t="shared" si="26"/>
        <v>-5.1025834396360326E-2</v>
      </c>
      <c r="E341">
        <f t="shared" si="27"/>
        <v>7.2281242941931927</v>
      </c>
      <c r="F341">
        <f t="shared" si="28"/>
        <v>1.0588757058068081</v>
      </c>
      <c r="H341">
        <f t="shared" si="29"/>
        <v>1.0588757058068081</v>
      </c>
    </row>
    <row r="342" spans="1:8" x14ac:dyDescent="0.25">
      <c r="A342">
        <v>8.2129999999999992</v>
      </c>
      <c r="B342">
        <v>7.2899820482663316</v>
      </c>
      <c r="C342">
        <f t="shared" si="25"/>
        <v>0.92301795173366763</v>
      </c>
      <c r="D342">
        <f t="shared" si="26"/>
        <v>0.20277939412778212</v>
      </c>
      <c r="E342">
        <f t="shared" si="27"/>
        <v>7.492761442394114</v>
      </c>
      <c r="F342">
        <f t="shared" si="28"/>
        <v>0.72023855760588518</v>
      </c>
      <c r="H342">
        <f t="shared" si="29"/>
        <v>0.72023855760588518</v>
      </c>
    </row>
    <row r="343" spans="1:8" x14ac:dyDescent="0.25">
      <c r="A343">
        <v>7.7919999999999998</v>
      </c>
      <c r="B343">
        <v>7.3001000761196435</v>
      </c>
      <c r="C343">
        <f t="shared" si="25"/>
        <v>0.4918999238803563</v>
      </c>
      <c r="D343">
        <f t="shared" si="26"/>
        <v>0.18571121188881393</v>
      </c>
      <c r="E343">
        <f t="shared" si="27"/>
        <v>7.4858112880084571</v>
      </c>
      <c r="F343">
        <f t="shared" si="28"/>
        <v>0.30618871199154274</v>
      </c>
      <c r="H343">
        <f t="shared" si="29"/>
        <v>0.30618871199154274</v>
      </c>
    </row>
    <row r="344" spans="1:8" x14ac:dyDescent="0.25">
      <c r="A344">
        <v>8.1920000000000002</v>
      </c>
      <c r="B344">
        <v>7.3095012139594679</v>
      </c>
      <c r="C344">
        <f t="shared" si="25"/>
        <v>0.88249878604053222</v>
      </c>
      <c r="D344">
        <f t="shared" si="26"/>
        <v>9.897026468472768E-2</v>
      </c>
      <c r="E344">
        <f t="shared" si="27"/>
        <v>7.4084714786441959</v>
      </c>
      <c r="F344">
        <f t="shared" si="28"/>
        <v>0.78352852135580431</v>
      </c>
      <c r="H344">
        <f t="shared" si="29"/>
        <v>0.78352852135580431</v>
      </c>
    </row>
    <row r="345" spans="1:8" x14ac:dyDescent="0.25">
      <c r="A345">
        <v>8.2609999999999992</v>
      </c>
      <c r="B345">
        <v>7.3181826760257724</v>
      </c>
      <c r="C345">
        <f t="shared" si="25"/>
        <v>0.9428173239742268</v>
      </c>
      <c r="D345">
        <f t="shared" si="26"/>
        <v>0.17755875575135507</v>
      </c>
      <c r="E345">
        <f t="shared" si="27"/>
        <v>7.4957414317771276</v>
      </c>
      <c r="F345">
        <f t="shared" si="28"/>
        <v>0.76525856822287164</v>
      </c>
      <c r="H345">
        <f t="shared" si="29"/>
        <v>0.76525856822287164</v>
      </c>
    </row>
    <row r="346" spans="1:8" x14ac:dyDescent="0.25">
      <c r="A346">
        <v>8.3049999999999997</v>
      </c>
      <c r="B346">
        <v>7.3261418898139832</v>
      </c>
      <c r="C346">
        <f t="shared" si="25"/>
        <v>0.97885811018601654</v>
      </c>
      <c r="D346">
        <f t="shared" si="26"/>
        <v>0.18969484558361444</v>
      </c>
      <c r="E346">
        <f t="shared" si="27"/>
        <v>7.5158367353975972</v>
      </c>
      <c r="F346">
        <f t="shared" si="28"/>
        <v>0.78916326460240249</v>
      </c>
      <c r="H346">
        <f t="shared" si="29"/>
        <v>0.78916326460240249</v>
      </c>
    </row>
    <row r="347" spans="1:8" x14ac:dyDescent="0.25">
      <c r="A347">
        <v>7.9089999999999998</v>
      </c>
      <c r="B347">
        <v>7.3333764968372819</v>
      </c>
      <c r="C347">
        <f t="shared" si="25"/>
        <v>0.57562350316271793</v>
      </c>
      <c r="D347">
        <f t="shared" si="26"/>
        <v>0.19694625176942651</v>
      </c>
      <c r="E347">
        <f t="shared" si="27"/>
        <v>7.5303227486067081</v>
      </c>
      <c r="F347">
        <f t="shared" si="28"/>
        <v>0.37867725139329167</v>
      </c>
      <c r="H347">
        <f t="shared" si="29"/>
        <v>0.37867725139329167</v>
      </c>
    </row>
    <row r="348" spans="1:8" x14ac:dyDescent="0.25">
      <c r="A348">
        <v>7.6159999999999997</v>
      </c>
      <c r="B348">
        <v>7.3398843533254716</v>
      </c>
      <c r="C348">
        <f t="shared" si="25"/>
        <v>0.27611564667452804</v>
      </c>
      <c r="D348">
        <f t="shared" si="26"/>
        <v>0.11581544883633885</v>
      </c>
      <c r="E348">
        <f t="shared" si="27"/>
        <v>7.4556998021618108</v>
      </c>
      <c r="F348">
        <f t="shared" si="28"/>
        <v>0.16030019783818883</v>
      </c>
      <c r="H348">
        <f t="shared" si="29"/>
        <v>0.16030019783818883</v>
      </c>
    </row>
    <row r="349" spans="1:8" x14ac:dyDescent="0.25">
      <c r="A349">
        <v>6.9589999999999996</v>
      </c>
      <c r="B349">
        <v>7.3456635308602243</v>
      </c>
      <c r="C349">
        <f t="shared" si="25"/>
        <v>-0.38666353086022465</v>
      </c>
      <c r="D349">
        <f t="shared" si="26"/>
        <v>5.5554468110915037E-2</v>
      </c>
      <c r="E349">
        <f t="shared" si="27"/>
        <v>7.4012179989711395</v>
      </c>
      <c r="F349">
        <f t="shared" si="28"/>
        <v>-0.44221799897113989</v>
      </c>
      <c r="H349">
        <f t="shared" si="29"/>
        <v>0.44221799897113989</v>
      </c>
    </row>
    <row r="350" spans="1:8" x14ac:dyDescent="0.25">
      <c r="A350">
        <v>7.1890000000000001</v>
      </c>
      <c r="B350">
        <v>7.3507123169465114</v>
      </c>
      <c r="C350">
        <f t="shared" si="25"/>
        <v>-0.16171231694651134</v>
      </c>
      <c r="D350">
        <f t="shared" si="26"/>
        <v>-7.7796702409077198E-2</v>
      </c>
      <c r="E350">
        <f t="shared" si="27"/>
        <v>7.2729156145374345</v>
      </c>
      <c r="F350">
        <f t="shared" si="28"/>
        <v>-8.3915614537434458E-2</v>
      </c>
      <c r="H350">
        <f t="shared" si="29"/>
        <v>8.3915614537434458E-2</v>
      </c>
    </row>
    <row r="351" spans="1:8" x14ac:dyDescent="0.25">
      <c r="A351">
        <v>7.1909999999999998</v>
      </c>
      <c r="B351">
        <v>7.3550292155200534</v>
      </c>
      <c r="C351">
        <f t="shared" si="25"/>
        <v>-0.16402921552005356</v>
      </c>
      <c r="D351">
        <f t="shared" si="26"/>
        <v>-3.2536518169638082E-2</v>
      </c>
      <c r="E351">
        <f t="shared" si="27"/>
        <v>7.3224926973504152</v>
      </c>
      <c r="F351">
        <f t="shared" si="28"/>
        <v>-0.13149269735041536</v>
      </c>
      <c r="H351">
        <f t="shared" si="29"/>
        <v>0.13149269735041536</v>
      </c>
    </row>
    <row r="352" spans="1:8" x14ac:dyDescent="0.25">
      <c r="A352">
        <v>8.2360000000000007</v>
      </c>
      <c r="B352">
        <v>7.3586129473906361</v>
      </c>
      <c r="C352">
        <f t="shared" si="25"/>
        <v>0.87738705260936456</v>
      </c>
      <c r="D352">
        <f t="shared" si="26"/>
        <v>-3.3002678162634774E-2</v>
      </c>
      <c r="E352">
        <f t="shared" si="27"/>
        <v>7.325610269228001</v>
      </c>
      <c r="F352">
        <f t="shared" si="28"/>
        <v>0.91038973077199969</v>
      </c>
      <c r="H352">
        <f t="shared" si="29"/>
        <v>0.91038973077199969</v>
      </c>
    </row>
    <row r="353" spans="1:8" x14ac:dyDescent="0.25">
      <c r="A353">
        <v>8.2360000000000007</v>
      </c>
      <c r="B353">
        <v>7.3614624506211648</v>
      </c>
      <c r="C353">
        <f t="shared" si="25"/>
        <v>0.87453754937883588</v>
      </c>
      <c r="D353">
        <f t="shared" si="26"/>
        <v>0.17653027498500415</v>
      </c>
      <c r="E353">
        <f t="shared" si="27"/>
        <v>7.537992725606169</v>
      </c>
      <c r="F353">
        <f t="shared" si="28"/>
        <v>0.6980072743938317</v>
      </c>
      <c r="H353">
        <f t="shared" si="29"/>
        <v>0.6980072743938317</v>
      </c>
    </row>
    <row r="354" spans="1:8" x14ac:dyDescent="0.25">
      <c r="A354">
        <v>8.3629999999999995</v>
      </c>
      <c r="B354">
        <v>7.3635768808423343</v>
      </c>
      <c r="C354">
        <f t="shared" si="25"/>
        <v>0.99942311915766524</v>
      </c>
      <c r="D354">
        <f t="shared" si="26"/>
        <v>0.17595695493502178</v>
      </c>
      <c r="E354">
        <f t="shared" si="27"/>
        <v>7.5395338357773563</v>
      </c>
      <c r="F354">
        <f t="shared" si="28"/>
        <v>0.82346616422264329</v>
      </c>
      <c r="H354">
        <f t="shared" si="29"/>
        <v>0.82346616422264329</v>
      </c>
    </row>
    <row r="355" spans="1:8" x14ac:dyDescent="0.25">
      <c r="A355">
        <v>7.8719999999999999</v>
      </c>
      <c r="B355">
        <v>7.3649556115028361</v>
      </c>
      <c r="C355">
        <f t="shared" si="25"/>
        <v>0.50704438849716382</v>
      </c>
      <c r="D355">
        <f t="shared" si="26"/>
        <v>0.20108393157452223</v>
      </c>
      <c r="E355">
        <f t="shared" si="27"/>
        <v>7.5660395430773582</v>
      </c>
      <c r="F355">
        <f t="shared" si="28"/>
        <v>0.30596045692264173</v>
      </c>
      <c r="H355">
        <f t="shared" si="29"/>
        <v>0.30596045692264173</v>
      </c>
    </row>
    <row r="356" spans="1:8" x14ac:dyDescent="0.25">
      <c r="A356">
        <v>6.4420000000000002</v>
      </c>
      <c r="B356">
        <v>7.365598234055021</v>
      </c>
      <c r="C356">
        <f t="shared" si="25"/>
        <v>-0.92359823405502084</v>
      </c>
      <c r="D356">
        <f t="shared" si="26"/>
        <v>0.10201733096562936</v>
      </c>
      <c r="E356">
        <f t="shared" si="27"/>
        <v>7.4676155650206502</v>
      </c>
      <c r="F356">
        <f t="shared" si="28"/>
        <v>-1.02561556502065</v>
      </c>
      <c r="H356">
        <f t="shared" si="29"/>
        <v>1.02561556502065</v>
      </c>
    </row>
    <row r="357" spans="1:8" x14ac:dyDescent="0.25">
      <c r="A357">
        <v>4.992</v>
      </c>
      <c r="B357">
        <v>7.3655045580759566</v>
      </c>
      <c r="C357">
        <f t="shared" si="25"/>
        <v>-2.3735045580759566</v>
      </c>
      <c r="D357">
        <f t="shared" si="26"/>
        <v>-0.18582796469187018</v>
      </c>
      <c r="E357">
        <f t="shared" si="27"/>
        <v>7.1796765933840865</v>
      </c>
      <c r="F357">
        <f t="shared" si="28"/>
        <v>-2.1876765933840865</v>
      </c>
      <c r="H357">
        <f t="shared" si="29"/>
        <v>2.1876765933840865</v>
      </c>
    </row>
    <row r="358" spans="1:8" x14ac:dyDescent="0.25">
      <c r="A358">
        <v>6.6079999999999997</v>
      </c>
      <c r="B358">
        <v>7.3646746113238581</v>
      </c>
      <c r="C358">
        <f t="shared" si="25"/>
        <v>-0.75667461132385849</v>
      </c>
      <c r="D358">
        <f t="shared" si="26"/>
        <v>-0.47754911708488246</v>
      </c>
      <c r="E358">
        <f t="shared" si="27"/>
        <v>6.8871254942389761</v>
      </c>
      <c r="F358">
        <f t="shared" si="28"/>
        <v>-0.27912549423897648</v>
      </c>
      <c r="H358">
        <f t="shared" si="29"/>
        <v>0.27912549423897648</v>
      </c>
    </row>
    <row r="359" spans="1:8" x14ac:dyDescent="0.25">
      <c r="A359">
        <v>7.766</v>
      </c>
      <c r="B359">
        <v>7.3631086397298597</v>
      </c>
      <c r="C359">
        <f t="shared" si="25"/>
        <v>0.40289136027014028</v>
      </c>
      <c r="D359">
        <f t="shared" si="26"/>
        <v>-0.15224293179836032</v>
      </c>
      <c r="E359">
        <f t="shared" si="27"/>
        <v>7.2108657079314993</v>
      </c>
      <c r="F359">
        <f t="shared" si="28"/>
        <v>0.55513429206850073</v>
      </c>
      <c r="H359">
        <f t="shared" si="29"/>
        <v>0.55513429206850073</v>
      </c>
    </row>
    <row r="360" spans="1:8" x14ac:dyDescent="0.25">
      <c r="A360">
        <v>6.77</v>
      </c>
      <c r="B360">
        <v>7.360807107325142</v>
      </c>
      <c r="C360">
        <f t="shared" si="25"/>
        <v>-0.59080710732514241</v>
      </c>
      <c r="D360">
        <f t="shared" si="26"/>
        <v>8.1061741686352218E-2</v>
      </c>
      <c r="E360">
        <f t="shared" si="27"/>
        <v>7.4418688490114944</v>
      </c>
      <c r="F360">
        <f t="shared" si="28"/>
        <v>-0.6718688490114948</v>
      </c>
      <c r="H360">
        <f t="shared" si="29"/>
        <v>0.6718688490114948</v>
      </c>
    </row>
    <row r="361" spans="1:8" x14ac:dyDescent="0.25">
      <c r="A361">
        <v>8.0340000000000007</v>
      </c>
      <c r="B361">
        <v>7.3577706961034259</v>
      </c>
      <c r="C361">
        <f t="shared" si="25"/>
        <v>0.67622930389657476</v>
      </c>
      <c r="D361">
        <f t="shared" si="26"/>
        <v>-0.11887038999381865</v>
      </c>
      <c r="E361">
        <f t="shared" si="27"/>
        <v>7.2389003061096071</v>
      </c>
      <c r="F361">
        <f t="shared" si="28"/>
        <v>0.79509969389039359</v>
      </c>
      <c r="H361">
        <f t="shared" si="29"/>
        <v>0.79509969389039359</v>
      </c>
    </row>
    <row r="362" spans="1:8" x14ac:dyDescent="0.25">
      <c r="A362">
        <v>8.2059999999999995</v>
      </c>
      <c r="B362">
        <v>7.3540003058188894</v>
      </c>
      <c r="C362">
        <f t="shared" si="25"/>
        <v>0.8519996941811101</v>
      </c>
      <c r="D362">
        <f t="shared" si="26"/>
        <v>0.13605733594399083</v>
      </c>
      <c r="E362">
        <f t="shared" si="27"/>
        <v>7.4900576417628804</v>
      </c>
      <c r="F362">
        <f t="shared" si="28"/>
        <v>0.71594235823711916</v>
      </c>
      <c r="H362">
        <f t="shared" si="29"/>
        <v>0.71594235823711916</v>
      </c>
    </row>
    <row r="363" spans="1:8" x14ac:dyDescent="0.25">
      <c r="A363">
        <v>8.3699999999999992</v>
      </c>
      <c r="B363">
        <v>7.349497053719543</v>
      </c>
      <c r="C363">
        <f t="shared" si="25"/>
        <v>1.0205029462804562</v>
      </c>
      <c r="D363">
        <f t="shared" si="26"/>
        <v>0.17142233846923935</v>
      </c>
      <c r="E363">
        <f t="shared" si="27"/>
        <v>7.520919392188782</v>
      </c>
      <c r="F363">
        <f t="shared" si="28"/>
        <v>0.84908060781121719</v>
      </c>
      <c r="H363">
        <f t="shared" si="29"/>
        <v>0.84908060781121719</v>
      </c>
    </row>
    <row r="364" spans="1:8" x14ac:dyDescent="0.25">
      <c r="A364">
        <v>8.2439999999999998</v>
      </c>
      <c r="B364">
        <v>7.3442622742161756</v>
      </c>
      <c r="C364">
        <f t="shared" si="25"/>
        <v>0.89973772578382416</v>
      </c>
      <c r="D364">
        <f t="shared" si="26"/>
        <v>0.20532519279162778</v>
      </c>
      <c r="E364">
        <f t="shared" si="27"/>
        <v>7.5495874670078038</v>
      </c>
      <c r="F364">
        <f t="shared" si="28"/>
        <v>0.69441253299219596</v>
      </c>
      <c r="H364">
        <f t="shared" si="29"/>
        <v>0.69441253299219596</v>
      </c>
    </row>
    <row r="365" spans="1:8" x14ac:dyDescent="0.25">
      <c r="A365">
        <v>7.76</v>
      </c>
      <c r="B365">
        <v>7.3382975184869252</v>
      </c>
      <c r="C365">
        <f t="shared" si="25"/>
        <v>0.42170248151307455</v>
      </c>
      <c r="D365">
        <f t="shared" si="26"/>
        <v>0.18102723042770541</v>
      </c>
      <c r="E365">
        <f t="shared" si="27"/>
        <v>7.5193247489146309</v>
      </c>
      <c r="F365">
        <f t="shared" si="28"/>
        <v>0.24067525108536891</v>
      </c>
      <c r="H365">
        <f t="shared" si="29"/>
        <v>0.24067525108536891</v>
      </c>
    </row>
    <row r="366" spans="1:8" x14ac:dyDescent="0.25">
      <c r="A366">
        <v>8.1120000000000001</v>
      </c>
      <c r="B366">
        <v>7.3316045540176482</v>
      </c>
      <c r="C366">
        <f t="shared" si="25"/>
        <v>0.78039544598235189</v>
      </c>
      <c r="D366">
        <f t="shared" si="26"/>
        <v>8.4846539280430594E-2</v>
      </c>
      <c r="E366">
        <f t="shared" si="27"/>
        <v>7.4164510932980789</v>
      </c>
      <c r="F366">
        <f t="shared" si="28"/>
        <v>0.69554890670192115</v>
      </c>
      <c r="H366">
        <f t="shared" si="29"/>
        <v>0.69554890670192115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TempTrain</vt:lpstr>
      <vt:lpstr>TempTest</vt:lpstr>
      <vt:lpstr>SolarTrain</vt:lpstr>
      <vt:lpstr>SolarTest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Boland</dc:creator>
  <cp:lastModifiedBy>John Boland</cp:lastModifiedBy>
  <dcterms:created xsi:type="dcterms:W3CDTF">2022-08-12T22:41:48Z</dcterms:created>
  <dcterms:modified xsi:type="dcterms:W3CDTF">2023-08-15T04:50:46Z</dcterms:modified>
</cp:coreProperties>
</file>